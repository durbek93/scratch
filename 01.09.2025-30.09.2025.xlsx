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rbek Documents\Расходы 25\"/>
    </mc:Choice>
  </mc:AlternateContent>
  <xr:revisionPtr revIDLastSave="0" documentId="13_ncr:1_{A44569F7-4F0D-4575-9FBD-3D954664DA4B}" xr6:coauthVersionLast="47" xr6:coauthVersionMax="47" xr10:uidLastSave="{00000000-0000-0000-0000-000000000000}"/>
  <bookViews>
    <workbookView xWindow="-108" yWindow="-108" windowWidth="23256" windowHeight="12456" tabRatio="785" activeTab="2" xr2:uid="{19E2467F-C10D-4CCF-A1F9-D6A3346E76EB}"/>
  </bookViews>
  <sheets>
    <sheet name="01.09.2025-30.09.2025(расход)" sheetId="1" r:id="rId1"/>
    <sheet name="01.09.2025-30.09.2025 (приход)" sheetId="3" r:id="rId2"/>
    <sheet name="01.09.2025-30.09.2025(смета)" sheetId="4" r:id="rId3"/>
    <sheet name="Касса" sheetId="5" r:id="rId4"/>
  </sheets>
  <definedNames>
    <definedName name="_xlnm._FilterDatabase" localSheetId="0" hidden="1">'01.09.2025-30.09.2025(расход)'!$B$1:$F$61</definedName>
    <definedName name="_xlnm.Print_Area" localSheetId="2">'01.09.2025-30.09.2025(смета)'!$A$1:$M$27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0" i="4" l="1"/>
  <c r="E20" i="4"/>
  <c r="E7" i="5"/>
  <c r="D70" i="1"/>
  <c r="D53" i="1"/>
  <c r="D67" i="1"/>
  <c r="S6" i="1" l="1"/>
  <c r="F4" i="5"/>
  <c r="G6" i="5"/>
  <c r="S2" i="1" s="1"/>
  <c r="D27" i="1"/>
  <c r="D28" i="1"/>
  <c r="D20" i="1"/>
  <c r="L16" i="4" l="1"/>
  <c r="C26" i="4"/>
  <c r="F26" i="4"/>
  <c r="E9" i="4"/>
  <c r="K9" i="4" s="1"/>
  <c r="O5" i="1"/>
  <c r="L9" i="4" s="1"/>
  <c r="O2" i="1"/>
  <c r="L18" i="4" s="1"/>
  <c r="O4" i="1"/>
  <c r="K16" i="4"/>
  <c r="I3" i="3"/>
  <c r="I5" i="4" s="1"/>
  <c r="I4" i="3"/>
  <c r="I6" i="4" s="1"/>
  <c r="I5" i="3"/>
  <c r="I7" i="4" s="1"/>
  <c r="I6" i="3"/>
  <c r="I8" i="4" s="1"/>
  <c r="I8" i="3"/>
  <c r="I11" i="4" s="1"/>
  <c r="I11" i="3"/>
  <c r="I9" i="4" s="1"/>
  <c r="L6" i="1"/>
  <c r="L15" i="4" s="1"/>
  <c r="K20" i="4"/>
  <c r="L5" i="1"/>
  <c r="L20" i="4" s="1"/>
  <c r="K15" i="4"/>
  <c r="E15" i="4"/>
  <c r="L8" i="1"/>
  <c r="L21" i="4" s="1"/>
  <c r="K23" i="4"/>
  <c r="L7" i="1"/>
  <c r="L17" i="4" s="1"/>
  <c r="O7" i="1"/>
  <c r="L24" i="4" s="1"/>
  <c r="H6" i="4"/>
  <c r="L2" i="1"/>
  <c r="L12" i="4" s="1"/>
  <c r="E11" i="4"/>
  <c r="E16" i="4"/>
  <c r="E17" i="4"/>
  <c r="O3" i="1"/>
  <c r="L19" i="4" s="1"/>
  <c r="L4" i="1"/>
  <c r="L14" i="4" s="1"/>
  <c r="I7" i="1"/>
  <c r="L11" i="4" s="1"/>
  <c r="I6" i="1"/>
  <c r="L10" i="4" s="1"/>
  <c r="I5" i="1"/>
  <c r="L8" i="4" s="1"/>
  <c r="I4" i="1"/>
  <c r="L7" i="4" s="1"/>
  <c r="I3" i="1"/>
  <c r="L6" i="4" s="1"/>
  <c r="I2" i="1"/>
  <c r="L5" i="4" s="1"/>
  <c r="L3" i="1"/>
  <c r="L13" i="4" s="1"/>
  <c r="O6" i="1"/>
  <c r="L22" i="4" s="1"/>
  <c r="I12" i="4"/>
  <c r="E14" i="4"/>
  <c r="E13" i="4"/>
  <c r="E12" i="4"/>
  <c r="E10" i="4"/>
  <c r="E8" i="4"/>
  <c r="E7" i="4"/>
  <c r="E6" i="4"/>
  <c r="E5" i="4"/>
  <c r="K18" i="4"/>
  <c r="K17" i="4"/>
  <c r="K14" i="4"/>
  <c r="K13" i="4"/>
  <c r="K12" i="4"/>
  <c r="K11" i="4"/>
  <c r="K10" i="4"/>
  <c r="K8" i="4"/>
  <c r="K7" i="4"/>
  <c r="K6" i="4"/>
  <c r="K5" i="4"/>
  <c r="L26" i="4" l="1"/>
  <c r="M26" i="4" s="1"/>
  <c r="C29" i="4"/>
  <c r="O10" i="1"/>
  <c r="I8" i="1"/>
  <c r="D23" i="3" l="1"/>
  <c r="I7" i="3"/>
  <c r="I10" i="4" s="1"/>
  <c r="I26" i="4" s="1"/>
  <c r="L23" i="4"/>
  <c r="I10" i="1"/>
  <c r="O8" i="1"/>
  <c r="I14" i="3" l="1"/>
  <c r="D24" i="3" s="1"/>
  <c r="L27" i="4"/>
  <c r="I29" i="4" s="1"/>
  <c r="I11" i="1"/>
  <c r="I12" i="1" s="1"/>
  <c r="O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Kamalov Durbek</author>
  </authors>
  <commentList>
    <comment ref="N4" authorId="0" shapeId="0" xr:uid="{21AFC046-2907-4EA2-ADE5-1778894A9740}">
      <text>
        <r>
          <rPr>
            <b/>
            <sz val="9"/>
            <color indexed="81"/>
            <rFont val="Tahoma"/>
            <family val="2"/>
            <charset val="204"/>
          </rPr>
          <t>Kamalov Durbek:</t>
        </r>
        <r>
          <rPr>
            <sz val="9"/>
            <color indexed="81"/>
            <rFont val="Tahoma"/>
            <family val="2"/>
            <charset val="204"/>
          </rPr>
          <t xml:space="preserve">
Обязательно комментарии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Дурбек</author>
  </authors>
  <commentList>
    <comment ref="D6" authorId="0" shapeId="0" xr:uid="{153B5ABC-A9F0-4073-98AD-EF72A7867577}">
      <text>
        <r>
          <rPr>
            <b/>
            <sz val="9"/>
            <color indexed="81"/>
            <rFont val="Tahoma"/>
            <charset val="1"/>
          </rPr>
          <t>Дурбек:</t>
        </r>
        <r>
          <rPr>
            <sz val="9"/>
            <color indexed="81"/>
            <rFont val="Tahoma"/>
            <charset val="1"/>
          </rPr>
          <t xml:space="preserve">
командировочные</t>
        </r>
      </text>
    </comment>
  </commentList>
</comments>
</file>

<file path=xl/sharedStrings.xml><?xml version="1.0" encoding="utf-8"?>
<sst xmlns="http://schemas.openxmlformats.org/spreadsheetml/2006/main" count="253" uniqueCount="123">
  <si>
    <t>№</t>
  </si>
  <si>
    <t>Дата</t>
  </si>
  <si>
    <t>сумма</t>
  </si>
  <si>
    <t>наименование</t>
  </si>
  <si>
    <t>кому</t>
  </si>
  <si>
    <t>Сарвиноз</t>
  </si>
  <si>
    <t>др.</t>
  </si>
  <si>
    <t>Итого:</t>
  </si>
  <si>
    <t>Дурбек</t>
  </si>
  <si>
    <t>Домой</t>
  </si>
  <si>
    <t>Папе</t>
  </si>
  <si>
    <t>Мама</t>
  </si>
  <si>
    <t>ИТОГО:</t>
  </si>
  <si>
    <t>Сбережения</t>
  </si>
  <si>
    <t>Де-факто</t>
  </si>
  <si>
    <t>Самир</t>
  </si>
  <si>
    <t>итого по смете</t>
  </si>
  <si>
    <t>Расходы</t>
  </si>
  <si>
    <t>Дурбек з/п</t>
  </si>
  <si>
    <t>Аренда</t>
  </si>
  <si>
    <t>Премия</t>
  </si>
  <si>
    <t>Разница:</t>
  </si>
  <si>
    <t>Благотвор-ть</t>
  </si>
  <si>
    <t>Разв-ие/обуч</t>
  </si>
  <si>
    <t>Ком-ые/услуги</t>
  </si>
  <si>
    <t>Доходы</t>
  </si>
  <si>
    <t>Одежда</t>
  </si>
  <si>
    <t>рабочие расх</t>
  </si>
  <si>
    <t>ост. на начало</t>
  </si>
  <si>
    <t>раб. Доходы</t>
  </si>
  <si>
    <t>С оборота</t>
  </si>
  <si>
    <t>Инвестиции</t>
  </si>
  <si>
    <t>Рассрочка</t>
  </si>
  <si>
    <t>-</t>
  </si>
  <si>
    <t>Итого</t>
  </si>
  <si>
    <t>:</t>
  </si>
  <si>
    <t>Разница</t>
  </si>
  <si>
    <r>
      <t xml:space="preserve">ИТОГО </t>
    </r>
    <r>
      <rPr>
        <sz val="8"/>
        <color theme="1"/>
        <rFont val="Calibri"/>
        <family val="2"/>
        <scheme val="minor"/>
      </rPr>
      <t>(по смете)</t>
    </r>
    <r>
      <rPr>
        <sz val="11"/>
        <color theme="1"/>
        <rFont val="Calibri"/>
        <family val="2"/>
        <charset val="204"/>
        <scheme val="minor"/>
      </rPr>
      <t>:</t>
    </r>
  </si>
  <si>
    <t>Авто + бензин</t>
  </si>
  <si>
    <t>Ожидаемые приходы</t>
  </si>
  <si>
    <t>Фактические приходы</t>
  </si>
  <si>
    <t>неизвет/рас</t>
  </si>
  <si>
    <t>Рабочие расх-ы</t>
  </si>
  <si>
    <t>Обналичка</t>
  </si>
  <si>
    <t>На оборот</t>
  </si>
  <si>
    <t>Здоровье</t>
  </si>
  <si>
    <t>Неизвест траты</t>
  </si>
  <si>
    <t>ост.</t>
  </si>
  <si>
    <t>З/П</t>
  </si>
  <si>
    <t>Касса</t>
  </si>
  <si>
    <t>Приход</t>
  </si>
  <si>
    <t>Расход</t>
  </si>
  <si>
    <t>Откуда/куда</t>
  </si>
  <si>
    <t>Наличка:</t>
  </si>
  <si>
    <t>в Суммах</t>
  </si>
  <si>
    <t>МухаммадУмар</t>
  </si>
  <si>
    <t>Сбер</t>
  </si>
  <si>
    <t>Нал</t>
  </si>
  <si>
    <t>11000 недостача 01/10</t>
  </si>
  <si>
    <t>*9872</t>
  </si>
  <si>
    <t>Ш холмага</t>
  </si>
  <si>
    <t>Благ-ть</t>
  </si>
  <si>
    <t>аптека</t>
  </si>
  <si>
    <t>здр</t>
  </si>
  <si>
    <t>д</t>
  </si>
  <si>
    <t>Д</t>
  </si>
  <si>
    <t>ингаляц</t>
  </si>
  <si>
    <t>сув</t>
  </si>
  <si>
    <t>Обед</t>
  </si>
  <si>
    <t>*2991</t>
  </si>
  <si>
    <t>з/п</t>
  </si>
  <si>
    <t>Сарвиноз Уй</t>
  </si>
  <si>
    <t>С</t>
  </si>
  <si>
    <t>обед</t>
  </si>
  <si>
    <t>Сар йог</t>
  </si>
  <si>
    <t>домой</t>
  </si>
  <si>
    <t>Самирга кийим</t>
  </si>
  <si>
    <t>Сам</t>
  </si>
  <si>
    <t>Памперс Умар</t>
  </si>
  <si>
    <t>Умар</t>
  </si>
  <si>
    <t>Продукты</t>
  </si>
  <si>
    <t>Продукты ёрмозорга</t>
  </si>
  <si>
    <t>Интернет</t>
  </si>
  <si>
    <t>Догрига дадамга</t>
  </si>
  <si>
    <t>Папа</t>
  </si>
  <si>
    <t>Гостиница брон</t>
  </si>
  <si>
    <t>Догри</t>
  </si>
  <si>
    <t>обнал</t>
  </si>
  <si>
    <t>мойка</t>
  </si>
  <si>
    <t>авто</t>
  </si>
  <si>
    <t>папа в таш</t>
  </si>
  <si>
    <t>папа</t>
  </si>
  <si>
    <t>Чеварга</t>
  </si>
  <si>
    <t>М</t>
  </si>
  <si>
    <t>нал бозорга</t>
  </si>
  <si>
    <t>продукты</t>
  </si>
  <si>
    <t>Элевит</t>
  </si>
  <si>
    <t>Маме</t>
  </si>
  <si>
    <t>Ош водий состав</t>
  </si>
  <si>
    <t>Ш.ака</t>
  </si>
  <si>
    <t>батарейка</t>
  </si>
  <si>
    <t>гушт</t>
  </si>
  <si>
    <t>пульт</t>
  </si>
  <si>
    <t>ремешок</t>
  </si>
  <si>
    <t>Остатка узум карта</t>
  </si>
  <si>
    <t>Газ</t>
  </si>
  <si>
    <t>к/у</t>
  </si>
  <si>
    <t>ТРЦ Флагман</t>
  </si>
  <si>
    <t>мама</t>
  </si>
  <si>
    <t>растрата</t>
  </si>
  <si>
    <t>?</t>
  </si>
  <si>
    <t>дал в долг Дони</t>
  </si>
  <si>
    <t>$</t>
  </si>
  <si>
    <t>с-я</t>
  </si>
  <si>
    <t>бина крипт</t>
  </si>
  <si>
    <t>инвест</t>
  </si>
  <si>
    <t>ост на карте</t>
  </si>
  <si>
    <t>раб/дох</t>
  </si>
  <si>
    <t>нал</t>
  </si>
  <si>
    <t>продукты кеная</t>
  </si>
  <si>
    <t>анализ Самир</t>
  </si>
  <si>
    <t>запчасти для СП</t>
  </si>
  <si>
    <t>расход с карты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</si>
</sst>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#,##0\ &quot;$&quot;;[Red]\-#,##0\ &quot;$&quot;"/>
    <numFmt numFmtId="44" formatCode="_-* #,##0.00\ &quot;$&quot;_-;\-* #,##0.00\ &quot;$&quot;_-;_-* &quot;-&quot;??\ &quot;$&quot;_-;_-@_-"/>
    <numFmt numFmtId="164" formatCode="_-* #,##0\ [$UZS]_-;\-* #,##0\ [$UZS]_-;_-* &quot;-&quot;\ [$UZS]_-;_-@_-"/>
    <numFmt numFmtId="165" formatCode="_-* #,##0\ [$UZS]_-;\-* #,##0\ [$UZS]_-;_-* &quot;-&quot;??\ [$UZS]_-;_-@_-"/>
    <numFmt numFmtId="166" formatCode="#,##0\ &quot;$&quot;"/>
    <numFmt numFmtId="167" formatCode="_-* #,##0\ [$USS]_-;\-* #,##0\ [$USS]_-;_-* &quot;-&quot;??\ [$USS]_-;_-@_-"/>
    <numFmt numFmtId="168" formatCode="_-* #,##0.00\ [$UZS]_-;\-* #,##0.00\ [$UZS]_-;_-* &quot;-&quot;??\ [$UZS]_-;_-@_-"/>
    <numFmt numFmtId="169" formatCode="#,##0\ [$UZS]"/>
    <numFmt numFmtId="170" formatCode="_-* #,##0.0\ &quot;$&quot;_-;\-* #,##0.0\ &quot;$&quot;_-;_-* &quot;-&quot;??\ &quot;$&quot;_-;_-@_-"/>
  </numFmts>
  <fonts count="20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44" fontId="14" fillId="0" borderId="0" applyFont="0" applyFill="0" applyBorder="0" applyAlignment="0" applyProtection="0"/>
  </cellStyleXfs>
  <cellXfs count="189">
    <xf numFmtId="0" fontId="0" fillId="0" borderId="0" xfId="0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4" borderId="0" xfId="0" applyFill="1" applyBorder="1"/>
    <xf numFmtId="0" fontId="0" fillId="4" borderId="0" xfId="0" applyFill="1"/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164" fontId="0" fillId="2" borderId="10" xfId="0" applyNumberFormat="1" applyFill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 vertical="center"/>
    </xf>
    <xf numFmtId="164" fontId="0" fillId="6" borderId="12" xfId="0" applyNumberForma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6" borderId="11" xfId="0" applyFill="1" applyBorder="1" applyAlignment="1">
      <alignment horizontal="left" vertical="center"/>
    </xf>
    <xf numFmtId="166" fontId="0" fillId="4" borderId="0" xfId="0" applyNumberFormat="1" applyFill="1" applyAlignment="1">
      <alignment horizontal="center" vertical="center"/>
    </xf>
    <xf numFmtId="0" fontId="0" fillId="3" borderId="11" xfId="0" applyFill="1" applyBorder="1" applyAlignment="1">
      <alignment horizontal="right"/>
    </xf>
    <xf numFmtId="165" fontId="0" fillId="3" borderId="12" xfId="0" applyNumberFormat="1" applyFill="1" applyBorder="1"/>
    <xf numFmtId="0" fontId="0" fillId="0" borderId="0" xfId="0" applyNumberFormat="1" applyAlignment="1">
      <alignment horizontal="center" vertical="center"/>
    </xf>
    <xf numFmtId="0" fontId="0" fillId="4" borderId="14" xfId="0" applyFill="1" applyBorder="1" applyAlignment="1">
      <alignment horizontal="left" vertical="center"/>
    </xf>
    <xf numFmtId="164" fontId="0" fillId="4" borderId="15" xfId="0" applyNumberFormat="1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center"/>
    </xf>
    <xf numFmtId="164" fontId="0" fillId="2" borderId="17" xfId="0" applyNumberFormat="1" applyFill="1" applyBorder="1" applyAlignment="1">
      <alignment horizontal="center" vertical="center"/>
    </xf>
    <xf numFmtId="0" fontId="0" fillId="4" borderId="16" xfId="0" applyFill="1" applyBorder="1" applyAlignment="1">
      <alignment horizontal="left" vertical="center"/>
    </xf>
    <xf numFmtId="164" fontId="0" fillId="4" borderId="17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left" vertical="center"/>
    </xf>
    <xf numFmtId="164" fontId="0" fillId="2" borderId="19" xfId="0" applyNumberFormat="1" applyFill="1" applyBorder="1" applyAlignment="1">
      <alignment horizontal="center" vertical="center"/>
    </xf>
    <xf numFmtId="0" fontId="0" fillId="4" borderId="16" xfId="0" applyFill="1" applyBorder="1"/>
    <xf numFmtId="165" fontId="3" fillId="4" borderId="17" xfId="0" applyNumberFormat="1" applyFont="1" applyFill="1" applyBorder="1"/>
    <xf numFmtId="0" fontId="0" fillId="2" borderId="16" xfId="0" applyFill="1" applyBorder="1"/>
    <xf numFmtId="0" fontId="3" fillId="4" borderId="14" xfId="0" applyFont="1" applyFill="1" applyBorder="1" applyAlignment="1">
      <alignment horizontal="left" vertical="center"/>
    </xf>
    <xf numFmtId="164" fontId="3" fillId="4" borderId="15" xfId="0" applyNumberFormat="1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left" vertical="center"/>
    </xf>
    <xf numFmtId="164" fontId="3" fillId="2" borderId="17" xfId="0" applyNumberFormat="1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left" vertical="center"/>
    </xf>
    <xf numFmtId="164" fontId="3" fillId="4" borderId="17" xfId="0" applyNumberFormat="1" applyFont="1" applyFill="1" applyBorder="1" applyAlignment="1">
      <alignment horizontal="center" vertical="center"/>
    </xf>
    <xf numFmtId="164" fontId="3" fillId="4" borderId="17" xfId="1" applyNumberFormat="1" applyFont="1" applyFill="1" applyBorder="1" applyAlignment="1">
      <alignment horizontal="center" vertical="center"/>
    </xf>
    <xf numFmtId="165" fontId="3" fillId="2" borderId="17" xfId="0" applyNumberFormat="1" applyFont="1" applyFill="1" applyBorder="1"/>
    <xf numFmtId="0" fontId="1" fillId="4" borderId="1" xfId="0" applyFont="1" applyFill="1" applyBorder="1" applyAlignment="1">
      <alignment horizontal="center" vertical="center"/>
    </xf>
    <xf numFmtId="14" fontId="0" fillId="4" borderId="0" xfId="0" applyNumberFormat="1" applyFill="1" applyBorder="1"/>
    <xf numFmtId="0" fontId="11" fillId="4" borderId="0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right"/>
    </xf>
    <xf numFmtId="165" fontId="3" fillId="2" borderId="3" xfId="0" applyNumberFormat="1" applyFont="1" applyFill="1" applyBorder="1"/>
    <xf numFmtId="0" fontId="0" fillId="4" borderId="1" xfId="0" applyFill="1" applyBorder="1" applyAlignment="1">
      <alignment horizontal="right"/>
    </xf>
    <xf numFmtId="165" fontId="3" fillId="4" borderId="1" xfId="0" applyNumberFormat="1" applyFont="1" applyFill="1" applyBorder="1"/>
    <xf numFmtId="0" fontId="0" fillId="2" borderId="1" xfId="0" applyFill="1" applyBorder="1" applyAlignment="1">
      <alignment horizontal="right"/>
    </xf>
    <xf numFmtId="165" fontId="3" fillId="2" borderId="1" xfId="0" applyNumberFormat="1" applyFont="1" applyFill="1" applyBorder="1"/>
    <xf numFmtId="164" fontId="0" fillId="4" borderId="17" xfId="0" applyNumberFormat="1" applyFill="1" applyBorder="1"/>
    <xf numFmtId="164" fontId="0" fillId="2" borderId="17" xfId="0" applyNumberFormat="1" applyFill="1" applyBorder="1"/>
    <xf numFmtId="165" fontId="3" fillId="4" borderId="3" xfId="0" applyNumberFormat="1" applyFont="1" applyFill="1" applyBorder="1"/>
    <xf numFmtId="0" fontId="0" fillId="2" borderId="16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12" fillId="4" borderId="0" xfId="0" applyFont="1" applyFill="1"/>
    <xf numFmtId="168" fontId="0" fillId="4" borderId="0" xfId="0" applyNumberFormat="1" applyFill="1" applyBorder="1" applyAlignment="1">
      <alignment horizontal="right"/>
    </xf>
    <xf numFmtId="0" fontId="0" fillId="4" borderId="1" xfId="0" applyNumberFormat="1" applyFill="1" applyBorder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4" borderId="16" xfId="0" applyFont="1" applyFill="1" applyBorder="1"/>
    <xf numFmtId="0" fontId="3" fillId="2" borderId="16" xfId="0" applyFont="1" applyFill="1" applyBorder="1"/>
    <xf numFmtId="0" fontId="2" fillId="5" borderId="22" xfId="0" applyNumberFormat="1" applyFont="1" applyFill="1" applyBorder="1" applyAlignment="1">
      <alignment horizontal="center" vertical="center"/>
    </xf>
    <xf numFmtId="164" fontId="2" fillId="5" borderId="2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3" fillId="4" borderId="14" xfId="0" applyFont="1" applyFill="1" applyBorder="1"/>
    <xf numFmtId="165" fontId="3" fillId="4" borderId="15" xfId="0" applyNumberFormat="1" applyFont="1" applyFill="1" applyBorder="1"/>
    <xf numFmtId="0" fontId="0" fillId="4" borderId="14" xfId="0" applyFill="1" applyBorder="1"/>
    <xf numFmtId="0" fontId="0" fillId="4" borderId="18" xfId="0" applyFill="1" applyBorder="1"/>
    <xf numFmtId="164" fontId="0" fillId="4" borderId="19" xfId="0" applyNumberFormat="1" applyFill="1" applyBorder="1"/>
    <xf numFmtId="0" fontId="2" fillId="3" borderId="4" xfId="0" applyFont="1" applyFill="1" applyBorder="1" applyAlignment="1">
      <alignment horizontal="right" vertical="center" indent="1"/>
    </xf>
    <xf numFmtId="164" fontId="2" fillId="3" borderId="4" xfId="0" applyNumberFormat="1" applyFont="1" applyFill="1" applyBorder="1"/>
    <xf numFmtId="164" fontId="2" fillId="4" borderId="0" xfId="0" applyNumberFormat="1" applyFont="1" applyFill="1" applyBorder="1" applyAlignment="1">
      <alignment vertical="top"/>
    </xf>
    <xf numFmtId="0" fontId="2" fillId="4" borderId="0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top"/>
    </xf>
    <xf numFmtId="164" fontId="0" fillId="4" borderId="19" xfId="0" applyNumberFormat="1" applyFill="1" applyBorder="1" applyAlignment="1">
      <alignment horizontal="right"/>
    </xf>
    <xf numFmtId="1" fontId="0" fillId="4" borderId="1" xfId="0" applyNumberFormat="1" applyFill="1" applyBorder="1" applyAlignment="1">
      <alignment horizontal="center" vertical="center"/>
    </xf>
    <xf numFmtId="165" fontId="0" fillId="4" borderId="0" xfId="0" applyNumberFormat="1" applyFill="1" applyBorder="1"/>
    <xf numFmtId="0" fontId="0" fillId="4" borderId="0" xfId="0" applyNumberFormat="1" applyFill="1" applyBorder="1" applyAlignment="1">
      <alignment horizontal="right"/>
    </xf>
    <xf numFmtId="169" fontId="0" fillId="4" borderId="0" xfId="0" applyNumberFormat="1" applyFill="1" applyBorder="1"/>
    <xf numFmtId="0" fontId="0" fillId="4" borderId="0" xfId="0" applyFill="1" applyBorder="1" applyAlignment="1">
      <alignment horizontal="right"/>
    </xf>
    <xf numFmtId="165" fontId="0" fillId="4" borderId="0" xfId="0" applyNumberFormat="1" applyFill="1" applyBorder="1" applyAlignment="1">
      <alignment horizontal="right"/>
    </xf>
    <xf numFmtId="169" fontId="0" fillId="4" borderId="0" xfId="0" applyNumberFormat="1" applyFill="1" applyBorder="1" applyAlignment="1">
      <alignment horizontal="right"/>
    </xf>
    <xf numFmtId="0" fontId="0" fillId="4" borderId="0" xfId="0" applyFill="1" applyBorder="1" applyAlignment="1"/>
    <xf numFmtId="164" fontId="0" fillId="4" borderId="1" xfId="0" applyNumberFormat="1" applyFill="1" applyBorder="1"/>
    <xf numFmtId="0" fontId="0" fillId="4" borderId="0" xfId="0" applyFill="1" applyBorder="1" applyAlignment="1">
      <alignment horizontal="left" vertical="center"/>
    </xf>
    <xf numFmtId="164" fontId="0" fillId="4" borderId="0" xfId="0" applyNumberFormat="1" applyFill="1" applyBorder="1" applyAlignment="1">
      <alignment horizontal="center" vertical="center"/>
    </xf>
    <xf numFmtId="167" fontId="0" fillId="4" borderId="17" xfId="0" applyNumberFormat="1" applyFill="1" applyBorder="1" applyAlignment="1">
      <alignment horizontal="center" vertical="center"/>
    </xf>
    <xf numFmtId="0" fontId="0" fillId="6" borderId="1" xfId="0" applyFill="1" applyBorder="1"/>
    <xf numFmtId="169" fontId="0" fillId="6" borderId="1" xfId="0" applyNumberFormat="1" applyFill="1" applyBorder="1"/>
    <xf numFmtId="0" fontId="3" fillId="6" borderId="23" xfId="0" applyFont="1" applyFill="1" applyBorder="1" applyAlignment="1">
      <alignment horizontal="right" vertical="center" indent="1"/>
    </xf>
    <xf numFmtId="164" fontId="3" fillId="6" borderId="23" xfId="0" applyNumberFormat="1" applyFont="1" applyFill="1" applyBorder="1"/>
    <xf numFmtId="0" fontId="0" fillId="6" borderId="5" xfId="0" applyFill="1" applyBorder="1" applyAlignment="1">
      <alignment horizontal="left" vertical="center"/>
    </xf>
    <xf numFmtId="164" fontId="0" fillId="6" borderId="6" xfId="0" applyNumberForma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164" fontId="2" fillId="8" borderId="1" xfId="0" applyNumberFormat="1" applyFont="1" applyFill="1" applyBorder="1" applyAlignment="1">
      <alignment horizontal="center" vertical="center"/>
    </xf>
    <xf numFmtId="0" fontId="12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/>
    <xf numFmtId="169" fontId="0" fillId="9" borderId="1" xfId="0" applyNumberFormat="1" applyFill="1" applyBorder="1" applyAlignment="1">
      <alignment horizontal="center" vertical="center"/>
    </xf>
    <xf numFmtId="0" fontId="15" fillId="4" borderId="1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0" fillId="4" borderId="1" xfId="0" applyNumberFormat="1" applyFill="1" applyBorder="1" applyAlignment="1">
      <alignment vertical="center"/>
    </xf>
    <xf numFmtId="0" fontId="0" fillId="0" borderId="15" xfId="0" applyNumberFormat="1" applyBorder="1" applyAlignment="1">
      <alignment horizontal="center" vertical="center"/>
    </xf>
    <xf numFmtId="0" fontId="0" fillId="4" borderId="21" xfId="0" applyNumberFormat="1" applyFill="1" applyBorder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vertical="center"/>
    </xf>
    <xf numFmtId="165" fontId="3" fillId="4" borderId="0" xfId="0" applyNumberFormat="1" applyFont="1" applyFill="1" applyBorder="1" applyAlignment="1"/>
    <xf numFmtId="165" fontId="3" fillId="4" borderId="0" xfId="0" applyNumberFormat="1" applyFont="1" applyFill="1" applyBorder="1" applyAlignment="1">
      <alignment horizontal="left" vertical="center"/>
    </xf>
    <xf numFmtId="165" fontId="3" fillId="4" borderId="0" xfId="0" applyNumberFormat="1" applyFont="1" applyFill="1" applyBorder="1" applyAlignment="1">
      <alignment horizontal="left"/>
    </xf>
    <xf numFmtId="44" fontId="3" fillId="7" borderId="1" xfId="0" applyNumberFormat="1" applyFont="1" applyFill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right" vertical="center"/>
    </xf>
    <xf numFmtId="165" fontId="3" fillId="4" borderId="0" xfId="0" applyNumberFormat="1" applyFont="1" applyFill="1" applyBorder="1"/>
    <xf numFmtId="0" fontId="3" fillId="7" borderId="1" xfId="1" applyFont="1" applyFill="1" applyBorder="1" applyAlignment="1">
      <alignment horizontal="center" vertical="center"/>
    </xf>
    <xf numFmtId="44" fontId="3" fillId="4" borderId="0" xfId="2" applyFont="1" applyFill="1" applyBorder="1" applyAlignment="1">
      <alignment horizontal="center" vertical="center"/>
    </xf>
    <xf numFmtId="44" fontId="3" fillId="7" borderId="1" xfId="2" applyFont="1" applyFill="1" applyBorder="1" applyAlignment="1">
      <alignment horizontal="center" vertical="center"/>
    </xf>
    <xf numFmtId="44" fontId="3" fillId="7" borderId="1" xfId="2" applyFont="1" applyFill="1" applyBorder="1" applyAlignment="1">
      <alignment vertical="center"/>
    </xf>
    <xf numFmtId="169" fontId="16" fillId="4" borderId="1" xfId="0" applyNumberFormat="1" applyFont="1" applyFill="1" applyBorder="1" applyAlignment="1">
      <alignment horizontal="center" vertical="center"/>
    </xf>
    <xf numFmtId="169" fontId="3" fillId="4" borderId="1" xfId="0" applyNumberFormat="1" applyFont="1" applyFill="1" applyBorder="1" applyAlignment="1">
      <alignment horizontal="center" vertical="center"/>
    </xf>
    <xf numFmtId="169" fontId="17" fillId="4" borderId="1" xfId="0" applyNumberFormat="1" applyFon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6" fontId="3" fillId="7" borderId="1" xfId="2" applyNumberFormat="1" applyFont="1" applyFill="1" applyBorder="1" applyAlignment="1">
      <alignment horizontal="center" vertical="center"/>
    </xf>
    <xf numFmtId="165" fontId="3" fillId="7" borderId="1" xfId="1" applyNumberFormat="1" applyFont="1" applyFill="1" applyBorder="1" applyAlignment="1">
      <alignment horizontal="center" vertical="center"/>
    </xf>
    <xf numFmtId="14" fontId="3" fillId="7" borderId="1" xfId="1" applyNumberFormat="1" applyFont="1" applyFill="1" applyBorder="1" applyAlignment="1">
      <alignment horizontal="center" vertical="center"/>
    </xf>
    <xf numFmtId="169" fontId="12" fillId="4" borderId="1" xfId="0" applyNumberFormat="1" applyFont="1" applyFill="1" applyBorder="1" applyAlignment="1">
      <alignment horizontal="center" vertical="center"/>
    </xf>
    <xf numFmtId="170" fontId="0" fillId="4" borderId="0" xfId="0" applyNumberFormat="1" applyFill="1" applyBorder="1"/>
    <xf numFmtId="14" fontId="0" fillId="4" borderId="1" xfId="0" applyNumberFormat="1" applyFill="1" applyBorder="1" applyAlignment="1">
      <alignment horizontal="center" vertical="center"/>
    </xf>
    <xf numFmtId="164" fontId="12" fillId="4" borderId="0" xfId="0" applyNumberFormat="1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64" fontId="0" fillId="4" borderId="0" xfId="0" applyNumberFormat="1" applyFill="1" applyBorder="1" applyAlignment="1">
      <alignment horizontal="left" vertical="center"/>
    </xf>
    <xf numFmtId="164" fontId="12" fillId="4" borderId="0" xfId="0" applyNumberFormat="1" applyFont="1" applyFill="1" applyBorder="1" applyAlignment="1">
      <alignment horizontal="left" vertical="center"/>
    </xf>
    <xf numFmtId="164" fontId="3" fillId="4" borderId="0" xfId="0" applyNumberFormat="1" applyFont="1" applyFill="1" applyBorder="1" applyAlignment="1">
      <alignment horizontal="left" vertical="center"/>
    </xf>
    <xf numFmtId="16" fontId="0" fillId="4" borderId="0" xfId="0" applyNumberForma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9" fontId="3" fillId="2" borderId="1" xfId="0" applyNumberFormat="1" applyFon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169" fontId="12" fillId="2" borderId="1" xfId="0" applyNumberFormat="1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169" fontId="3" fillId="4" borderId="2" xfId="0" applyNumberFormat="1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12" fillId="4" borderId="0" xfId="0" applyFont="1" applyFill="1" applyBorder="1"/>
    <xf numFmtId="169" fontId="3" fillId="4" borderId="0" xfId="0" applyNumberFormat="1" applyFont="1" applyFill="1" applyBorder="1" applyAlignment="1">
      <alignment horizontal="center" vertical="center"/>
    </xf>
    <xf numFmtId="169" fontId="12" fillId="4" borderId="0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14" fontId="0" fillId="2" borderId="24" xfId="0" applyNumberFormat="1" applyFill="1" applyBorder="1" applyAlignment="1">
      <alignment horizontal="center" vertical="center"/>
    </xf>
    <xf numFmtId="0" fontId="12" fillId="4" borderId="0" xfId="0" applyFont="1" applyFill="1" applyAlignment="1">
      <alignment horizontal="left"/>
    </xf>
    <xf numFmtId="14" fontId="0" fillId="4" borderId="2" xfId="0" applyNumberFormat="1" applyFill="1" applyBorder="1" applyAlignment="1">
      <alignment horizontal="center" vertical="center"/>
    </xf>
    <xf numFmtId="14" fontId="0" fillId="4" borderId="3" xfId="0" applyNumberFormat="1" applyFill="1" applyBorder="1" applyAlignment="1">
      <alignment horizontal="center" vertical="center"/>
    </xf>
    <xf numFmtId="14" fontId="0" fillId="4" borderId="24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3" fillId="4" borderId="2" xfId="0" applyNumberFormat="1" applyFont="1" applyFill="1" applyBorder="1" applyAlignment="1">
      <alignment horizontal="center" vertical="center"/>
    </xf>
    <xf numFmtId="14" fontId="3" fillId="4" borderId="24" xfId="0" applyNumberFormat="1" applyFont="1" applyFill="1" applyBorder="1" applyAlignment="1">
      <alignment horizontal="center" vertical="center"/>
    </xf>
    <xf numFmtId="14" fontId="3" fillId="4" borderId="3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165" fontId="3" fillId="7" borderId="2" xfId="0" applyNumberFormat="1" applyFont="1" applyFill="1" applyBorder="1" applyAlignment="1">
      <alignment horizontal="center" vertical="center"/>
    </xf>
    <xf numFmtId="165" fontId="3" fillId="7" borderId="3" xfId="0" applyNumberFormat="1" applyFont="1" applyFill="1" applyBorder="1" applyAlignment="1">
      <alignment horizontal="center" vertical="center"/>
    </xf>
    <xf numFmtId="0" fontId="0" fillId="7" borderId="1" xfId="0" applyNumberFormat="1" applyFill="1" applyBorder="1" applyAlignment="1">
      <alignment horizontal="center" vertical="center"/>
    </xf>
    <xf numFmtId="14" fontId="3" fillId="7" borderId="2" xfId="1" applyNumberFormat="1" applyFont="1" applyFill="1" applyBorder="1" applyAlignment="1">
      <alignment horizontal="center" vertical="center"/>
    </xf>
    <xf numFmtId="14" fontId="3" fillId="7" borderId="3" xfId="1" applyNumberFormat="1" applyFont="1" applyFill="1" applyBorder="1" applyAlignment="1">
      <alignment horizontal="center" vertical="center"/>
    </xf>
  </cellXfs>
  <cellStyles count="3">
    <cellStyle name="Гиперссылка" xfId="1" builtinId="8"/>
    <cellStyle name="Денежный" xfId="2" builtinId="4"/>
    <cellStyle name="Обычный" xfId="0" builtinId="0"/>
  </cellStyles>
  <dxfs count="20"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  <numFmt numFmtId="164" formatCode="_-* #,##0\ [$UZS]_-;\-* #,##0\ [$UZS]_-;_-* &quot;-&quot;\ [$UZS]_-;_-@_-"/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59B2-F086-4C1B-86C4-2A0511AE24D4}">
  <dimension ref="A1:S148"/>
  <sheetViews>
    <sheetView zoomScale="90" zoomScaleNormal="90" zoomScaleSheetLayoutView="100" workbookViewId="0">
      <pane ySplit="12" topLeftCell="A63" activePane="bottomLeft" state="frozen"/>
      <selection pane="bottomLeft" activeCell="L68" sqref="L68"/>
    </sheetView>
  </sheetViews>
  <sheetFormatPr defaultColWidth="8.88671875" defaultRowHeight="14.4" x14ac:dyDescent="0.3"/>
  <cols>
    <col min="1" max="1" width="2" style="5" customWidth="1"/>
    <col min="2" max="2" width="13.21875" style="135" customWidth="1"/>
    <col min="3" max="3" width="6.6640625" style="83" customWidth="1"/>
    <col min="4" max="4" width="16.6640625" style="127" customWidth="1"/>
    <col min="5" max="5" width="22.109375" style="62" customWidth="1"/>
    <col min="6" max="6" width="13.44140625" style="62" customWidth="1"/>
    <col min="7" max="7" width="1.6640625" style="4" customWidth="1"/>
    <col min="8" max="8" width="15.109375" style="4" customWidth="1"/>
    <col min="9" max="9" width="16.109375" style="4" bestFit="1" customWidth="1"/>
    <col min="10" max="10" width="1.33203125" style="4" customWidth="1"/>
    <col min="11" max="11" width="14.109375" style="4" customWidth="1"/>
    <col min="12" max="12" width="14.6640625" style="4" customWidth="1"/>
    <col min="13" max="13" width="1.33203125" style="4" customWidth="1"/>
    <col min="14" max="14" width="16.6640625" style="4" customWidth="1"/>
    <col min="15" max="15" width="18.109375" style="4" customWidth="1"/>
    <col min="16" max="17" width="8.88671875" style="4"/>
    <col min="18" max="18" width="13.6640625" style="4" customWidth="1"/>
    <col min="19" max="19" width="19.88671875" style="4" customWidth="1"/>
    <col min="20" max="16384" width="8.88671875" style="4"/>
  </cols>
  <sheetData>
    <row r="1" spans="2:19" x14ac:dyDescent="0.3">
      <c r="B1" s="135" t="s">
        <v>1</v>
      </c>
      <c r="C1" s="83" t="s">
        <v>0</v>
      </c>
      <c r="D1" s="126" t="s">
        <v>2</v>
      </c>
      <c r="E1" s="70" t="s">
        <v>3</v>
      </c>
      <c r="F1" s="70" t="s">
        <v>4</v>
      </c>
    </row>
    <row r="2" spans="2:19" x14ac:dyDescent="0.3">
      <c r="B2" s="146">
        <v>45901</v>
      </c>
      <c r="C2" s="143">
        <v>1</v>
      </c>
      <c r="D2" s="144">
        <v>83000</v>
      </c>
      <c r="E2" s="145" t="s">
        <v>60</v>
      </c>
      <c r="F2" s="145" t="s">
        <v>61</v>
      </c>
      <c r="H2" s="71" t="s">
        <v>8</v>
      </c>
      <c r="I2" s="72">
        <f>SUMIF(F2:F1042,"Д",D2:D1042)</f>
        <v>735000</v>
      </c>
      <c r="J2" s="3"/>
      <c r="K2" s="71" t="s">
        <v>22</v>
      </c>
      <c r="L2" s="72">
        <f>SUMIF(F2:F1042,"Благ-ть",D2:D1042)</f>
        <v>533878</v>
      </c>
      <c r="N2" s="73" t="s">
        <v>38</v>
      </c>
      <c r="O2" s="72">
        <f>SUMIF(F2:F1042,"авто",D2:D1042)</f>
        <v>15000</v>
      </c>
      <c r="R2" s="95" t="s">
        <v>56</v>
      </c>
      <c r="S2" s="96">
        <f>Касса!G6</f>
        <v>4500000</v>
      </c>
    </row>
    <row r="3" spans="2:19" x14ac:dyDescent="0.3">
      <c r="B3" s="167">
        <v>45902</v>
      </c>
      <c r="C3" s="83">
        <v>1</v>
      </c>
      <c r="D3" s="127">
        <v>170000</v>
      </c>
      <c r="E3" s="62" t="s">
        <v>62</v>
      </c>
      <c r="F3" s="62" t="s">
        <v>63</v>
      </c>
      <c r="H3" s="67" t="s">
        <v>5</v>
      </c>
      <c r="I3" s="43">
        <f>SUMIF(F2:F1041,"С",D2:D1041)</f>
        <v>181000</v>
      </c>
      <c r="J3" s="3"/>
      <c r="K3" s="67" t="s">
        <v>14</v>
      </c>
      <c r="L3" s="43">
        <f ca="1">SUMIF(F2:F1132,"др.",D2:D1042)</f>
        <v>550000</v>
      </c>
      <c r="N3" s="35" t="s">
        <v>26</v>
      </c>
      <c r="O3" s="43">
        <f>SUMIF(F3:F1132,"одежда",D3:D1132)</f>
        <v>0</v>
      </c>
      <c r="R3" s="3"/>
      <c r="S3" s="86"/>
    </row>
    <row r="4" spans="2:19" x14ac:dyDescent="0.3">
      <c r="B4" s="168"/>
      <c r="C4" s="83">
        <v>2</v>
      </c>
      <c r="D4" s="127">
        <v>93000</v>
      </c>
      <c r="E4" s="62" t="s">
        <v>64</v>
      </c>
      <c r="F4" s="62" t="s">
        <v>65</v>
      </c>
      <c r="H4" s="66" t="s">
        <v>9</v>
      </c>
      <c r="I4" s="34">
        <f ca="1">SUMIF(F2:F1132,"домой",D2:D1033)</f>
        <v>3300000</v>
      </c>
      <c r="J4" s="3"/>
      <c r="K4" s="66" t="s">
        <v>10</v>
      </c>
      <c r="L4" s="34">
        <f ca="1">SUMIF(F2:F1132,"Папа",D2:D1042)</f>
        <v>950000</v>
      </c>
      <c r="N4" s="33" t="s">
        <v>44</v>
      </c>
      <c r="O4" s="34">
        <f>SUMIF(F2:F1037,"н/о",D2:D1037)</f>
        <v>0</v>
      </c>
      <c r="R4" s="3"/>
      <c r="S4" s="86"/>
    </row>
    <row r="5" spans="2:19" x14ac:dyDescent="0.3">
      <c r="B5" s="163">
        <v>45912</v>
      </c>
      <c r="C5" s="143">
        <v>1</v>
      </c>
      <c r="D5" s="144">
        <v>145000</v>
      </c>
      <c r="E5" s="145" t="s">
        <v>66</v>
      </c>
      <c r="F5" s="145" t="s">
        <v>63</v>
      </c>
      <c r="H5" s="67" t="s">
        <v>24</v>
      </c>
      <c r="I5" s="43">
        <f>SUMIF(F2:F1043,"к/у",D2:D1043)</f>
        <v>30000</v>
      </c>
      <c r="J5" s="3"/>
      <c r="K5" s="67" t="s">
        <v>23</v>
      </c>
      <c r="L5" s="43">
        <f>SUMIF(F2:F1132,"разв",D2:D1132)</f>
        <v>0</v>
      </c>
      <c r="N5" s="35" t="s">
        <v>55</v>
      </c>
      <c r="O5" s="54">
        <f>SUMIF(F2:F1037,"Умар",D2:D1037)</f>
        <v>230000</v>
      </c>
      <c r="R5" s="3"/>
      <c r="S5" s="3"/>
    </row>
    <row r="6" spans="2:19" x14ac:dyDescent="0.3">
      <c r="B6" s="165"/>
      <c r="C6" s="143">
        <v>2</v>
      </c>
      <c r="D6" s="144">
        <v>5000</v>
      </c>
      <c r="E6" s="145" t="s">
        <v>67</v>
      </c>
      <c r="F6" s="145" t="s">
        <v>65</v>
      </c>
      <c r="H6" s="33" t="s">
        <v>15</v>
      </c>
      <c r="I6" s="34">
        <f>SUMIF(F2:F1045,"Сам",D2:D1046)</f>
        <v>199000</v>
      </c>
      <c r="J6" s="3"/>
      <c r="K6" s="29" t="s">
        <v>45</v>
      </c>
      <c r="L6" s="53">
        <f>SUMIF(F3:F1041,"здр",D3:D1041)</f>
        <v>761000</v>
      </c>
      <c r="N6" s="33" t="s">
        <v>42</v>
      </c>
      <c r="O6" s="53">
        <f>SUMIF(F2:F1039,"раб/рас",D2:D1039)</f>
        <v>0</v>
      </c>
      <c r="R6" s="105" t="s">
        <v>57</v>
      </c>
      <c r="S6" s="106">
        <f>D20+D27+D53+D70</f>
        <v>235000</v>
      </c>
    </row>
    <row r="7" spans="2:19" x14ac:dyDescent="0.3">
      <c r="B7" s="164"/>
      <c r="C7" s="143">
        <v>3</v>
      </c>
      <c r="D7" s="144">
        <v>30000</v>
      </c>
      <c r="E7" s="146" t="s">
        <v>68</v>
      </c>
      <c r="F7" s="146" t="s">
        <v>65</v>
      </c>
      <c r="H7" s="67" t="s">
        <v>11</v>
      </c>
      <c r="I7" s="43">
        <f ca="1">SUMIF(F2:F1132,"М",D2:D1042)</f>
        <v>900000</v>
      </c>
      <c r="J7" s="3"/>
      <c r="K7" s="67" t="s">
        <v>32</v>
      </c>
      <c r="L7" s="43">
        <f>SUMIF(F2:F1032,"р-ка",D2:D1039)</f>
        <v>0</v>
      </c>
      <c r="N7" s="35" t="s">
        <v>31</v>
      </c>
      <c r="O7" s="54">
        <f>SUMIF(F2:F1040,"инвест",D2:D1040)</f>
        <v>1250000</v>
      </c>
      <c r="R7" s="3"/>
      <c r="S7" s="3"/>
    </row>
    <row r="8" spans="2:19" x14ac:dyDescent="0.3">
      <c r="B8" s="167">
        <v>45913</v>
      </c>
      <c r="C8" s="83">
        <v>1</v>
      </c>
      <c r="D8" s="127">
        <v>150000</v>
      </c>
      <c r="E8" s="135" t="s">
        <v>71</v>
      </c>
      <c r="F8" s="135" t="s">
        <v>61</v>
      </c>
      <c r="H8" s="74" t="s">
        <v>13</v>
      </c>
      <c r="I8" s="75">
        <f>SUMIF(F2:F1032,"С-я",D2:D1039)</f>
        <v>4500000</v>
      </c>
      <c r="K8" s="74" t="s">
        <v>46</v>
      </c>
      <c r="L8" s="82">
        <f ca="1">SUMIF(F5:F1132,"растрата",D5:D1042)</f>
        <v>130000</v>
      </c>
      <c r="N8" s="74" t="s">
        <v>43</v>
      </c>
      <c r="O8" s="75">
        <f>(SUMIF(F2:F1040,"обнал",D2:D1040))</f>
        <v>235000</v>
      </c>
      <c r="R8" s="3"/>
      <c r="S8" s="3"/>
    </row>
    <row r="9" spans="2:19" x14ac:dyDescent="0.3">
      <c r="B9" s="169"/>
      <c r="C9" s="83">
        <v>2</v>
      </c>
      <c r="D9" s="127">
        <v>108000</v>
      </c>
      <c r="E9" s="135" t="s">
        <v>73</v>
      </c>
      <c r="F9" s="135" t="s">
        <v>65</v>
      </c>
      <c r="J9" s="3"/>
      <c r="K9" s="3"/>
      <c r="N9" s="79" t="s">
        <v>7</v>
      </c>
      <c r="O9" s="78">
        <f ca="1">SUM(I2:I8,L2:L8,O2:O8)</f>
        <v>14499878</v>
      </c>
    </row>
    <row r="10" spans="2:19" x14ac:dyDescent="0.3">
      <c r="B10" s="169"/>
      <c r="C10" s="83">
        <v>3</v>
      </c>
      <c r="D10" s="127">
        <v>100000</v>
      </c>
      <c r="E10" s="135" t="s">
        <v>74</v>
      </c>
      <c r="F10" s="135" t="s">
        <v>75</v>
      </c>
      <c r="H10" s="76" t="s">
        <v>7</v>
      </c>
      <c r="I10" s="77">
        <f>SUM(D2:D1041)</f>
        <v>14499878</v>
      </c>
      <c r="N10" s="80" t="s">
        <v>16</v>
      </c>
      <c r="O10" s="81">
        <f ca="1">SUM(I2:I7,L2:L7,O2:O7)</f>
        <v>9634878</v>
      </c>
    </row>
    <row r="11" spans="2:19" x14ac:dyDescent="0.3">
      <c r="B11" s="169"/>
      <c r="C11" s="83">
        <v>4</v>
      </c>
      <c r="D11" s="127">
        <v>150000</v>
      </c>
      <c r="E11" s="135" t="s">
        <v>76</v>
      </c>
      <c r="F11" s="135" t="s">
        <v>77</v>
      </c>
      <c r="H11" s="97" t="s">
        <v>7</v>
      </c>
      <c r="I11" s="98">
        <f ca="1">SUM(I2:I8,L2:L8,O2:O8)</f>
        <v>14499878</v>
      </c>
    </row>
    <row r="12" spans="2:19" x14ac:dyDescent="0.3">
      <c r="B12" s="169"/>
      <c r="C12" s="83">
        <v>5</v>
      </c>
      <c r="D12" s="127">
        <v>230000</v>
      </c>
      <c r="E12" s="135" t="s">
        <v>78</v>
      </c>
      <c r="F12" s="135" t="s">
        <v>79</v>
      </c>
      <c r="H12" s="49" t="s">
        <v>21</v>
      </c>
      <c r="I12" s="91">
        <f ca="1">I10-I11</f>
        <v>0</v>
      </c>
    </row>
    <row r="13" spans="2:19" x14ac:dyDescent="0.3">
      <c r="B13" s="168"/>
      <c r="C13" s="83">
        <v>6</v>
      </c>
      <c r="D13" s="127">
        <v>300000</v>
      </c>
      <c r="E13" s="135" t="s">
        <v>80</v>
      </c>
      <c r="F13" s="135" t="s">
        <v>75</v>
      </c>
    </row>
    <row r="14" spans="2:19" x14ac:dyDescent="0.3">
      <c r="B14" s="163">
        <v>45914</v>
      </c>
      <c r="C14" s="143">
        <v>1</v>
      </c>
      <c r="D14" s="144">
        <v>50000</v>
      </c>
      <c r="E14" s="146" t="s">
        <v>5</v>
      </c>
      <c r="F14" s="146" t="s">
        <v>72</v>
      </c>
    </row>
    <row r="15" spans="2:19" x14ac:dyDescent="0.3">
      <c r="B15" s="165"/>
      <c r="C15" s="143">
        <v>2</v>
      </c>
      <c r="D15" s="144">
        <v>65878</v>
      </c>
      <c r="E15" s="146" t="s">
        <v>81</v>
      </c>
      <c r="F15" s="146" t="s">
        <v>61</v>
      </c>
    </row>
    <row r="16" spans="2:19" x14ac:dyDescent="0.3">
      <c r="B16" s="165"/>
      <c r="C16" s="143">
        <v>3</v>
      </c>
      <c r="D16" s="144">
        <v>165000</v>
      </c>
      <c r="E16" s="146" t="s">
        <v>82</v>
      </c>
      <c r="F16" s="146" t="s">
        <v>75</v>
      </c>
      <c r="K16" s="3"/>
    </row>
    <row r="17" spans="2:11" x14ac:dyDescent="0.3">
      <c r="B17" s="165"/>
      <c r="C17" s="143">
        <v>4</v>
      </c>
      <c r="D17" s="144">
        <v>150000</v>
      </c>
      <c r="E17" s="146" t="s">
        <v>83</v>
      </c>
      <c r="F17" s="146" t="s">
        <v>84</v>
      </c>
      <c r="K17" s="3"/>
    </row>
    <row r="18" spans="2:11" x14ac:dyDescent="0.3">
      <c r="B18" s="165"/>
      <c r="C18" s="143">
        <v>5</v>
      </c>
      <c r="D18" s="144">
        <v>100000</v>
      </c>
      <c r="E18" s="146" t="s">
        <v>85</v>
      </c>
      <c r="F18" s="146" t="s">
        <v>84</v>
      </c>
      <c r="K18" s="3"/>
    </row>
    <row r="19" spans="2:11" x14ac:dyDescent="0.3">
      <c r="B19" s="164"/>
      <c r="C19" s="143">
        <v>6</v>
      </c>
      <c r="D19" s="144">
        <v>36000</v>
      </c>
      <c r="E19" s="146" t="s">
        <v>86</v>
      </c>
      <c r="F19" s="146" t="s">
        <v>63</v>
      </c>
    </row>
    <row r="20" spans="2:11" x14ac:dyDescent="0.3">
      <c r="B20" s="167">
        <v>45915</v>
      </c>
      <c r="C20" s="83">
        <v>1</v>
      </c>
      <c r="D20" s="133">
        <f>200000-D21-D22-D26-D25</f>
        <v>0</v>
      </c>
      <c r="E20" s="135" t="s">
        <v>87</v>
      </c>
      <c r="F20" s="135" t="s">
        <v>87</v>
      </c>
    </row>
    <row r="21" spans="2:11" x14ac:dyDescent="0.3">
      <c r="B21" s="169"/>
      <c r="C21" s="83">
        <v>2</v>
      </c>
      <c r="D21" s="133">
        <v>50000</v>
      </c>
      <c r="E21" s="135" t="s">
        <v>68</v>
      </c>
      <c r="F21" s="135" t="s">
        <v>65</v>
      </c>
    </row>
    <row r="22" spans="2:11" x14ac:dyDescent="0.3">
      <c r="B22" s="169"/>
      <c r="C22" s="83">
        <v>3</v>
      </c>
      <c r="D22" s="133">
        <v>15000</v>
      </c>
      <c r="E22" s="135" t="s">
        <v>88</v>
      </c>
      <c r="F22" s="135" t="s">
        <v>89</v>
      </c>
    </row>
    <row r="23" spans="2:11" x14ac:dyDescent="0.3">
      <c r="B23" s="169"/>
      <c r="C23" s="152">
        <v>4</v>
      </c>
      <c r="D23" s="153">
        <v>400000</v>
      </c>
      <c r="E23" s="149" t="s">
        <v>90</v>
      </c>
      <c r="F23" s="149" t="s">
        <v>91</v>
      </c>
    </row>
    <row r="24" spans="2:11" x14ac:dyDescent="0.3">
      <c r="B24" s="170">
        <v>45916</v>
      </c>
      <c r="C24" s="143">
        <v>1</v>
      </c>
      <c r="D24" s="144">
        <v>100000</v>
      </c>
      <c r="E24" s="146" t="s">
        <v>96</v>
      </c>
      <c r="F24" s="146" t="s">
        <v>72</v>
      </c>
    </row>
    <row r="25" spans="2:11" x14ac:dyDescent="0.3">
      <c r="B25" s="170"/>
      <c r="C25" s="143">
        <v>2</v>
      </c>
      <c r="D25" s="150">
        <v>100000</v>
      </c>
      <c r="E25" s="146" t="s">
        <v>92</v>
      </c>
      <c r="F25" s="146" t="s">
        <v>93</v>
      </c>
    </row>
    <row r="26" spans="2:11" x14ac:dyDescent="0.3">
      <c r="B26" s="167">
        <v>45917</v>
      </c>
      <c r="C26" s="83">
        <v>1</v>
      </c>
      <c r="D26" s="127">
        <v>35000</v>
      </c>
      <c r="E26" s="135" t="s">
        <v>68</v>
      </c>
      <c r="F26" s="135" t="s">
        <v>65</v>
      </c>
    </row>
    <row r="27" spans="2:11" x14ac:dyDescent="0.3">
      <c r="B27" s="169"/>
      <c r="C27" s="83">
        <v>2</v>
      </c>
      <c r="D27" s="133">
        <f>400000-D29-D37-D38</f>
        <v>5000</v>
      </c>
      <c r="E27" s="135" t="s">
        <v>94</v>
      </c>
      <c r="F27" s="135" t="s">
        <v>87</v>
      </c>
    </row>
    <row r="28" spans="2:11" x14ac:dyDescent="0.3">
      <c r="B28" s="169"/>
      <c r="C28" s="83">
        <v>3</v>
      </c>
      <c r="D28" s="127">
        <f>294000+388000+7000</f>
        <v>689000</v>
      </c>
      <c r="E28" s="135" t="s">
        <v>95</v>
      </c>
      <c r="F28" s="135" t="s">
        <v>75</v>
      </c>
    </row>
    <row r="29" spans="2:11" x14ac:dyDescent="0.3">
      <c r="B29" s="169"/>
      <c r="C29" s="83">
        <v>4</v>
      </c>
      <c r="D29" s="133">
        <v>180000</v>
      </c>
      <c r="E29" s="135" t="s">
        <v>95</v>
      </c>
      <c r="F29" s="135" t="s">
        <v>75</v>
      </c>
    </row>
    <row r="30" spans="2:11" x14ac:dyDescent="0.3">
      <c r="B30" s="168"/>
      <c r="C30" s="83">
        <v>5</v>
      </c>
      <c r="D30" s="127">
        <v>75000</v>
      </c>
      <c r="E30" s="135" t="s">
        <v>67</v>
      </c>
      <c r="F30" s="135" t="s">
        <v>75</v>
      </c>
    </row>
    <row r="31" spans="2:11" x14ac:dyDescent="0.3">
      <c r="B31" s="151">
        <v>45918</v>
      </c>
      <c r="C31" s="143">
        <v>1</v>
      </c>
      <c r="D31" s="144">
        <v>37000</v>
      </c>
      <c r="E31" s="151" t="s">
        <v>95</v>
      </c>
      <c r="F31" s="151" t="s">
        <v>75</v>
      </c>
    </row>
    <row r="32" spans="2:11" x14ac:dyDescent="0.3">
      <c r="B32" s="167">
        <v>45919</v>
      </c>
      <c r="C32" s="83">
        <v>1</v>
      </c>
      <c r="D32" s="127">
        <v>20000</v>
      </c>
      <c r="E32" s="135" t="s">
        <v>102</v>
      </c>
      <c r="F32" s="135" t="s">
        <v>75</v>
      </c>
    </row>
    <row r="33" spans="2:6" x14ac:dyDescent="0.3">
      <c r="B33" s="169"/>
      <c r="C33" s="83">
        <v>2</v>
      </c>
      <c r="D33" s="127">
        <v>50000</v>
      </c>
      <c r="E33" s="135" t="s">
        <v>103</v>
      </c>
      <c r="F33" s="135" t="s">
        <v>65</v>
      </c>
    </row>
    <row r="34" spans="2:6" x14ac:dyDescent="0.3">
      <c r="B34" s="168"/>
      <c r="C34" s="83">
        <v>3</v>
      </c>
      <c r="D34" s="127">
        <v>30000</v>
      </c>
      <c r="E34" s="135" t="s">
        <v>104</v>
      </c>
      <c r="F34" s="135" t="s">
        <v>75</v>
      </c>
    </row>
    <row r="35" spans="2:6" x14ac:dyDescent="0.3">
      <c r="B35" s="163">
        <v>45920</v>
      </c>
      <c r="C35" s="143">
        <v>1</v>
      </c>
      <c r="D35" s="144">
        <v>200000</v>
      </c>
      <c r="E35" s="154" t="s">
        <v>97</v>
      </c>
      <c r="F35" s="154" t="s">
        <v>93</v>
      </c>
    </row>
    <row r="36" spans="2:6" x14ac:dyDescent="0.3">
      <c r="B36" s="165"/>
      <c r="C36" s="143">
        <v>2</v>
      </c>
      <c r="D36" s="144">
        <v>36000</v>
      </c>
      <c r="E36" s="154" t="s">
        <v>62</v>
      </c>
      <c r="F36" s="154" t="s">
        <v>63</v>
      </c>
    </row>
    <row r="37" spans="2:6" x14ac:dyDescent="0.3">
      <c r="B37" s="165"/>
      <c r="C37" s="143">
        <v>3</v>
      </c>
      <c r="D37" s="150">
        <v>80000</v>
      </c>
      <c r="E37" s="154" t="s">
        <v>98</v>
      </c>
      <c r="F37" s="154" t="s">
        <v>65</v>
      </c>
    </row>
    <row r="38" spans="2:6" x14ac:dyDescent="0.3">
      <c r="B38" s="164"/>
      <c r="C38" s="143">
        <v>4</v>
      </c>
      <c r="D38" s="150">
        <v>135000</v>
      </c>
      <c r="E38" s="154" t="s">
        <v>99</v>
      </c>
      <c r="F38" s="154" t="s">
        <v>61</v>
      </c>
    </row>
    <row r="39" spans="2:6" x14ac:dyDescent="0.3">
      <c r="B39" s="167">
        <v>45921</v>
      </c>
      <c r="C39" s="83">
        <v>1</v>
      </c>
      <c r="D39" s="127">
        <v>12000</v>
      </c>
      <c r="E39" s="135" t="s">
        <v>100</v>
      </c>
      <c r="F39" s="135" t="s">
        <v>75</v>
      </c>
    </row>
    <row r="40" spans="2:6" x14ac:dyDescent="0.3">
      <c r="B40" s="169"/>
      <c r="C40" s="83">
        <v>2</v>
      </c>
      <c r="D40" s="127">
        <v>218000</v>
      </c>
      <c r="E40" s="135" t="s">
        <v>101</v>
      </c>
      <c r="F40" s="135" t="s">
        <v>75</v>
      </c>
    </row>
    <row r="41" spans="2:6" x14ac:dyDescent="0.3">
      <c r="B41" s="169"/>
      <c r="C41" s="83">
        <v>3</v>
      </c>
      <c r="D41" s="127">
        <v>8000</v>
      </c>
      <c r="E41" s="135" t="s">
        <v>95</v>
      </c>
      <c r="F41" s="135" t="s">
        <v>75</v>
      </c>
    </row>
    <row r="42" spans="2:6" x14ac:dyDescent="0.3">
      <c r="B42" s="169"/>
      <c r="C42" s="83">
        <v>4</v>
      </c>
      <c r="D42" s="127">
        <v>30000</v>
      </c>
      <c r="E42" s="135" t="s">
        <v>105</v>
      </c>
      <c r="F42" s="135" t="s">
        <v>106</v>
      </c>
    </row>
    <row r="43" spans="2:6" x14ac:dyDescent="0.3">
      <c r="B43" s="168"/>
      <c r="C43" s="83">
        <v>5</v>
      </c>
      <c r="D43" s="127">
        <v>204000</v>
      </c>
      <c r="E43" s="135" t="s">
        <v>107</v>
      </c>
      <c r="F43" s="135" t="s">
        <v>75</v>
      </c>
    </row>
    <row r="44" spans="2:6" x14ac:dyDescent="0.3">
      <c r="B44" s="135">
        <v>45922</v>
      </c>
      <c r="C44" s="143">
        <v>1</v>
      </c>
      <c r="D44" s="144">
        <v>340000</v>
      </c>
      <c r="E44" s="155" t="s">
        <v>62</v>
      </c>
      <c r="F44" s="155" t="s">
        <v>63</v>
      </c>
    </row>
    <row r="45" spans="2:6" x14ac:dyDescent="0.3">
      <c r="B45" s="167">
        <v>45924</v>
      </c>
      <c r="C45" s="83">
        <v>1</v>
      </c>
      <c r="D45" s="127">
        <v>17000</v>
      </c>
      <c r="E45" s="135" t="s">
        <v>95</v>
      </c>
      <c r="F45" s="135" t="s">
        <v>75</v>
      </c>
    </row>
    <row r="46" spans="2:6" x14ac:dyDescent="0.3">
      <c r="B46" s="169"/>
      <c r="C46" s="83">
        <v>2</v>
      </c>
      <c r="D46" s="127">
        <v>100000</v>
      </c>
      <c r="E46" s="135" t="s">
        <v>91</v>
      </c>
      <c r="F46" s="135" t="s">
        <v>84</v>
      </c>
    </row>
    <row r="47" spans="2:6" x14ac:dyDescent="0.3">
      <c r="B47" s="169"/>
      <c r="C47" s="83">
        <v>3</v>
      </c>
      <c r="D47" s="127">
        <v>500000</v>
      </c>
      <c r="E47" s="135" t="s">
        <v>108</v>
      </c>
      <c r="F47" s="135" t="s">
        <v>93</v>
      </c>
    </row>
    <row r="48" spans="2:6" x14ac:dyDescent="0.3">
      <c r="B48" s="169"/>
      <c r="C48" s="83">
        <v>4</v>
      </c>
      <c r="D48" s="127">
        <v>130000</v>
      </c>
      <c r="E48" s="135" t="s">
        <v>110</v>
      </c>
      <c r="F48" s="135" t="s">
        <v>109</v>
      </c>
    </row>
    <row r="49" spans="2:14" x14ac:dyDescent="0.3">
      <c r="B49" s="169"/>
      <c r="C49" s="83">
        <v>5</v>
      </c>
      <c r="D49" s="127">
        <v>500000</v>
      </c>
      <c r="E49" s="135" t="s">
        <v>111</v>
      </c>
      <c r="F49" s="135" t="s">
        <v>6</v>
      </c>
    </row>
    <row r="50" spans="2:14" x14ac:dyDescent="0.3">
      <c r="B50" s="168"/>
      <c r="C50" s="83">
        <v>6</v>
      </c>
      <c r="D50" s="127">
        <v>4500000</v>
      </c>
      <c r="E50" s="135" t="s">
        <v>112</v>
      </c>
      <c r="F50" s="135" t="s">
        <v>113</v>
      </c>
      <c r="I50" s="60"/>
    </row>
    <row r="51" spans="2:14" x14ac:dyDescent="0.3">
      <c r="B51" s="163">
        <v>45925</v>
      </c>
      <c r="C51" s="143">
        <v>1</v>
      </c>
      <c r="D51" s="144">
        <v>32000</v>
      </c>
      <c r="E51" s="155" t="s">
        <v>95</v>
      </c>
      <c r="F51" s="155" t="s">
        <v>75</v>
      </c>
      <c r="I51" s="60"/>
    </row>
    <row r="52" spans="2:14" x14ac:dyDescent="0.3">
      <c r="B52" s="164"/>
      <c r="C52" s="143">
        <v>2</v>
      </c>
      <c r="D52" s="144">
        <v>1250000</v>
      </c>
      <c r="E52" s="155" t="s">
        <v>114</v>
      </c>
      <c r="F52" s="155" t="s">
        <v>115</v>
      </c>
    </row>
    <row r="53" spans="2:14" x14ac:dyDescent="0.3">
      <c r="B53" s="167">
        <v>45926</v>
      </c>
      <c r="C53" s="83">
        <v>1</v>
      </c>
      <c r="D53" s="133">
        <f>500000-D59-D65-D66</f>
        <v>210000</v>
      </c>
      <c r="E53" s="135" t="s">
        <v>118</v>
      </c>
      <c r="F53" s="135" t="s">
        <v>87</v>
      </c>
      <c r="H53" s="60"/>
      <c r="I53" s="60"/>
      <c r="J53" s="60"/>
      <c r="K53" s="60"/>
      <c r="L53" s="60"/>
      <c r="M53" s="60"/>
      <c r="N53" s="60"/>
    </row>
    <row r="54" spans="2:14" x14ac:dyDescent="0.3">
      <c r="B54" s="169"/>
      <c r="C54" s="83">
        <v>2</v>
      </c>
      <c r="D54" s="127">
        <v>100000</v>
      </c>
      <c r="E54" s="135" t="s">
        <v>10</v>
      </c>
      <c r="F54" s="135" t="s">
        <v>84</v>
      </c>
      <c r="H54" s="60"/>
      <c r="I54" s="60"/>
      <c r="J54" s="60"/>
      <c r="K54" s="60"/>
      <c r="L54" s="60"/>
      <c r="M54" s="60"/>
      <c r="N54" s="60"/>
    </row>
    <row r="55" spans="2:14" x14ac:dyDescent="0.3">
      <c r="B55" s="169"/>
      <c r="C55" s="83">
        <v>3</v>
      </c>
      <c r="D55" s="127">
        <v>100000</v>
      </c>
      <c r="E55" s="135" t="s">
        <v>97</v>
      </c>
      <c r="F55" s="135" t="s">
        <v>93</v>
      </c>
      <c r="H55" s="60"/>
      <c r="I55" s="60"/>
      <c r="J55" s="60"/>
      <c r="K55" s="60"/>
      <c r="L55" s="60"/>
      <c r="M55" s="60"/>
      <c r="N55" s="60"/>
    </row>
    <row r="56" spans="2:14" x14ac:dyDescent="0.3">
      <c r="B56" s="169"/>
      <c r="C56" s="83">
        <v>4</v>
      </c>
      <c r="D56" s="127">
        <v>635000</v>
      </c>
      <c r="E56" s="135" t="s">
        <v>95</v>
      </c>
      <c r="F56" s="135" t="s">
        <v>75</v>
      </c>
      <c r="H56" s="60"/>
      <c r="I56" s="60"/>
      <c r="J56" s="60"/>
      <c r="K56" s="60"/>
      <c r="L56" s="60"/>
      <c r="M56" s="60"/>
      <c r="N56" s="60"/>
    </row>
    <row r="57" spans="2:14" x14ac:dyDescent="0.3">
      <c r="B57" s="169"/>
      <c r="C57" s="83">
        <v>5</v>
      </c>
      <c r="D57" s="127">
        <v>410000</v>
      </c>
      <c r="E57" s="135" t="s">
        <v>95</v>
      </c>
      <c r="F57" s="135" t="s">
        <v>75</v>
      </c>
      <c r="H57" s="60"/>
      <c r="I57" s="60"/>
      <c r="J57" s="60"/>
      <c r="K57" s="60"/>
      <c r="L57" s="60"/>
      <c r="M57" s="60"/>
      <c r="N57" s="60"/>
    </row>
    <row r="58" spans="2:14" x14ac:dyDescent="0.3">
      <c r="B58" s="169"/>
      <c r="C58" s="83">
        <v>6</v>
      </c>
      <c r="D58" s="127">
        <v>44000</v>
      </c>
      <c r="E58" s="62" t="s">
        <v>95</v>
      </c>
      <c r="F58" s="62" t="s">
        <v>75</v>
      </c>
      <c r="H58" s="60"/>
      <c r="N58" s="60"/>
    </row>
    <row r="59" spans="2:14" x14ac:dyDescent="0.3">
      <c r="B59" s="169"/>
      <c r="C59" s="83">
        <v>7</v>
      </c>
      <c r="D59" s="133">
        <v>100000</v>
      </c>
      <c r="E59" s="62" t="s">
        <v>119</v>
      </c>
      <c r="F59" s="62" t="s">
        <v>61</v>
      </c>
      <c r="H59" s="60"/>
      <c r="N59" s="60"/>
    </row>
    <row r="60" spans="2:14" x14ac:dyDescent="0.3">
      <c r="B60" s="169"/>
      <c r="C60" s="83">
        <v>8</v>
      </c>
      <c r="D60" s="127">
        <v>31000</v>
      </c>
      <c r="E60" s="62" t="s">
        <v>73</v>
      </c>
      <c r="F60" s="62" t="s">
        <v>65</v>
      </c>
      <c r="H60" s="160"/>
      <c r="I60" s="3"/>
      <c r="J60" s="3"/>
      <c r="K60" s="3"/>
      <c r="N60" s="60"/>
    </row>
    <row r="61" spans="2:14" x14ac:dyDescent="0.3">
      <c r="B61" s="168"/>
      <c r="C61" s="83">
        <v>9</v>
      </c>
      <c r="D61" s="127">
        <v>31000</v>
      </c>
      <c r="E61" s="62" t="s">
        <v>73</v>
      </c>
      <c r="F61" s="62" t="s">
        <v>72</v>
      </c>
      <c r="H61" s="3"/>
      <c r="I61" s="3"/>
      <c r="J61" s="3"/>
      <c r="K61" s="3"/>
    </row>
    <row r="62" spans="2:14" x14ac:dyDescent="0.3">
      <c r="B62" s="163">
        <v>45927</v>
      </c>
      <c r="C62" s="143">
        <v>1</v>
      </c>
      <c r="D62" s="144">
        <v>49000</v>
      </c>
      <c r="E62" s="145" t="s">
        <v>120</v>
      </c>
      <c r="F62" s="145" t="s">
        <v>77</v>
      </c>
      <c r="H62" s="3"/>
      <c r="I62" s="161"/>
      <c r="J62" s="3"/>
      <c r="K62" s="3"/>
    </row>
    <row r="63" spans="2:14" x14ac:dyDescent="0.3">
      <c r="B63" s="164"/>
      <c r="C63" s="143">
        <v>2</v>
      </c>
      <c r="D63" s="144">
        <v>34000</v>
      </c>
      <c r="E63" s="145" t="s">
        <v>62</v>
      </c>
      <c r="F63" s="145" t="s">
        <v>63</v>
      </c>
      <c r="H63" s="3"/>
      <c r="I63" s="161"/>
      <c r="J63" s="3"/>
      <c r="K63" s="3"/>
    </row>
    <row r="64" spans="2:14" x14ac:dyDescent="0.3">
      <c r="B64" s="171">
        <v>45929</v>
      </c>
      <c r="C64" s="156">
        <v>1</v>
      </c>
      <c r="D64" s="127">
        <v>100000</v>
      </c>
      <c r="E64" s="157" t="s">
        <v>91</v>
      </c>
      <c r="F64" s="157" t="s">
        <v>84</v>
      </c>
      <c r="H64" s="3"/>
      <c r="I64" s="161"/>
      <c r="J64" s="3"/>
      <c r="K64" s="3"/>
    </row>
    <row r="65" spans="2:11" ht="15" customHeight="1" x14ac:dyDescent="0.3">
      <c r="B65" s="172"/>
      <c r="C65" s="156">
        <v>2</v>
      </c>
      <c r="D65" s="133">
        <v>150000</v>
      </c>
      <c r="E65" s="157" t="s">
        <v>110</v>
      </c>
      <c r="F65" s="157" t="s">
        <v>65</v>
      </c>
      <c r="H65" s="3"/>
      <c r="I65" s="162"/>
      <c r="J65" s="3"/>
      <c r="K65" s="3"/>
    </row>
    <row r="66" spans="2:11" ht="15" customHeight="1" x14ac:dyDescent="0.3">
      <c r="B66" s="172"/>
      <c r="C66" s="156">
        <v>3</v>
      </c>
      <c r="D66" s="133">
        <v>40000</v>
      </c>
      <c r="E66" s="157" t="s">
        <v>68</v>
      </c>
      <c r="F66" s="157" t="s">
        <v>65</v>
      </c>
      <c r="H66" s="3"/>
      <c r="I66" s="162"/>
      <c r="J66" s="3"/>
      <c r="K66" s="3"/>
    </row>
    <row r="67" spans="2:11" x14ac:dyDescent="0.3">
      <c r="B67" s="173"/>
      <c r="C67" s="156">
        <v>4</v>
      </c>
      <c r="D67" s="127">
        <f>28000+11000</f>
        <v>39000</v>
      </c>
      <c r="E67" s="157" t="s">
        <v>95</v>
      </c>
      <c r="F67" s="157" t="s">
        <v>75</v>
      </c>
      <c r="G67" s="3"/>
      <c r="H67" s="3"/>
      <c r="I67" s="161"/>
      <c r="J67" s="3"/>
      <c r="K67" s="3"/>
    </row>
    <row r="68" spans="2:11" x14ac:dyDescent="0.3">
      <c r="B68" s="163">
        <v>45930</v>
      </c>
      <c r="C68" s="143">
        <v>1</v>
      </c>
      <c r="D68" s="144">
        <v>85000</v>
      </c>
      <c r="E68" s="145" t="s">
        <v>95</v>
      </c>
      <c r="F68" s="145" t="s">
        <v>75</v>
      </c>
      <c r="G68" s="3"/>
      <c r="H68" s="3"/>
      <c r="I68" s="161"/>
      <c r="J68" s="3"/>
      <c r="K68" s="3"/>
    </row>
    <row r="69" spans="2:11" x14ac:dyDescent="0.3">
      <c r="B69" s="165"/>
      <c r="C69" s="143">
        <v>2</v>
      </c>
      <c r="D69" s="144">
        <v>43000</v>
      </c>
      <c r="E69" s="145" t="s">
        <v>73</v>
      </c>
      <c r="F69" s="145" t="s">
        <v>65</v>
      </c>
      <c r="G69" s="3"/>
      <c r="H69" s="3"/>
      <c r="I69" s="161"/>
      <c r="J69" s="3"/>
      <c r="K69" s="3"/>
    </row>
    <row r="70" spans="2:11" x14ac:dyDescent="0.3">
      <c r="B70" s="165"/>
      <c r="C70" s="143">
        <v>3</v>
      </c>
      <c r="D70" s="150">
        <f>40000-D72-D73</f>
        <v>20000</v>
      </c>
      <c r="E70" s="145" t="s">
        <v>87</v>
      </c>
      <c r="F70" s="145" t="s">
        <v>87</v>
      </c>
      <c r="G70" s="3"/>
      <c r="H70" s="3"/>
      <c r="I70" s="162"/>
      <c r="J70" s="3"/>
      <c r="K70" s="3"/>
    </row>
    <row r="71" spans="2:11" x14ac:dyDescent="0.3">
      <c r="B71" s="165"/>
      <c r="C71" s="158">
        <v>4</v>
      </c>
      <c r="D71" s="144">
        <v>50000</v>
      </c>
      <c r="E71" s="159" t="s">
        <v>121</v>
      </c>
      <c r="F71" s="159" t="s">
        <v>6</v>
      </c>
      <c r="G71" s="3"/>
      <c r="H71" s="3"/>
      <c r="I71" s="161"/>
      <c r="J71" s="3"/>
      <c r="K71" s="3"/>
    </row>
    <row r="72" spans="2:11" x14ac:dyDescent="0.3">
      <c r="B72" s="165"/>
      <c r="C72" s="143">
        <v>5</v>
      </c>
      <c r="D72" s="150">
        <v>5000</v>
      </c>
      <c r="E72" s="145" t="s">
        <v>67</v>
      </c>
      <c r="F72" s="145" t="s">
        <v>65</v>
      </c>
      <c r="G72" s="3"/>
      <c r="H72" s="3"/>
      <c r="I72" s="161"/>
      <c r="J72" s="3"/>
      <c r="K72" s="3"/>
    </row>
    <row r="73" spans="2:11" x14ac:dyDescent="0.3">
      <c r="B73" s="164"/>
      <c r="C73" s="143">
        <v>6</v>
      </c>
      <c r="D73" s="150">
        <v>15000</v>
      </c>
      <c r="E73" s="145" t="s">
        <v>110</v>
      </c>
      <c r="F73" s="145" t="s">
        <v>65</v>
      </c>
      <c r="G73" s="3"/>
      <c r="H73" s="3"/>
      <c r="I73" s="162"/>
      <c r="J73" s="3"/>
      <c r="K73" s="3"/>
    </row>
    <row r="74" spans="2:11" x14ac:dyDescent="0.3">
      <c r="G74" s="3"/>
      <c r="H74" s="3"/>
      <c r="I74" s="3"/>
      <c r="J74" s="3"/>
      <c r="K74" s="3"/>
    </row>
    <row r="75" spans="2:11" x14ac:dyDescent="0.3">
      <c r="G75" s="3"/>
      <c r="H75" s="3"/>
      <c r="I75" s="3"/>
      <c r="J75" s="3"/>
      <c r="K75" s="3"/>
    </row>
    <row r="76" spans="2:11" x14ac:dyDescent="0.3">
      <c r="G76" s="3"/>
    </row>
    <row r="77" spans="2:11" x14ac:dyDescent="0.3">
      <c r="G77" s="3"/>
    </row>
    <row r="78" spans="2:11" x14ac:dyDescent="0.3">
      <c r="G78" s="3"/>
    </row>
    <row r="79" spans="2:11" x14ac:dyDescent="0.3">
      <c r="G79" s="3"/>
    </row>
    <row r="80" spans="2:11" x14ac:dyDescent="0.3">
      <c r="G80" s="3"/>
    </row>
    <row r="81" spans="5:8" x14ac:dyDescent="0.3">
      <c r="G81" s="3"/>
    </row>
    <row r="82" spans="5:8" x14ac:dyDescent="0.3">
      <c r="G82" s="3"/>
    </row>
    <row r="83" spans="5:8" x14ac:dyDescent="0.3">
      <c r="G83" s="3"/>
    </row>
    <row r="84" spans="5:8" x14ac:dyDescent="0.3">
      <c r="G84" s="3"/>
      <c r="H84" s="3"/>
    </row>
    <row r="85" spans="5:8" x14ac:dyDescent="0.3">
      <c r="E85" s="109"/>
      <c r="G85" s="3"/>
    </row>
    <row r="86" spans="5:8" x14ac:dyDescent="0.3">
      <c r="E86" s="109"/>
    </row>
    <row r="107" spans="5:5" x14ac:dyDescent="0.3">
      <c r="E107" s="103"/>
    </row>
    <row r="117" spans="4:8" x14ac:dyDescent="0.3">
      <c r="H117" s="60"/>
    </row>
    <row r="127" spans="4:8" x14ac:dyDescent="0.3">
      <c r="D127" s="128"/>
      <c r="E127" s="107"/>
    </row>
    <row r="143" spans="8:11" x14ac:dyDescent="0.3">
      <c r="H143" s="166"/>
      <c r="I143" s="166"/>
      <c r="J143" s="166"/>
      <c r="K143" s="166"/>
    </row>
    <row r="148" ht="14.7" hidden="1" customHeight="1" x14ac:dyDescent="0.3"/>
  </sheetData>
  <autoFilter ref="B1:F61" xr:uid="{CD9B59B2-F086-4C1B-86C4-2A0511AE24D4}"/>
  <mergeCells count="17">
    <mergeCell ref="B64:B67"/>
    <mergeCell ref="B62:B63"/>
    <mergeCell ref="B68:B73"/>
    <mergeCell ref="H143:K143"/>
    <mergeCell ref="B3:B4"/>
    <mergeCell ref="B5:B7"/>
    <mergeCell ref="B8:B13"/>
    <mergeCell ref="B14:B19"/>
    <mergeCell ref="B20:B23"/>
    <mergeCell ref="B24:B25"/>
    <mergeCell ref="B26:B30"/>
    <mergeCell ref="B35:B38"/>
    <mergeCell ref="B32:B34"/>
    <mergeCell ref="B39:B43"/>
    <mergeCell ref="B45:B50"/>
    <mergeCell ref="B51:B52"/>
    <mergeCell ref="B53:B61"/>
  </mergeCells>
  <conditionalFormatting sqref="I2">
    <cfRule type="expression" dxfId="19" priority="25">
      <formula>$I$2&gt;1500000</formula>
    </cfRule>
    <cfRule type="expression" dxfId="18" priority="26">
      <formula>#REF!&gt;500000</formula>
    </cfRule>
  </conditionalFormatting>
  <pageMargins left="0.7" right="0.7" top="0.75" bottom="0.75" header="0.3" footer="0.3"/>
  <pageSetup paperSize="9" scale="51" orientation="portrait" r:id="rId1"/>
  <colBreaks count="1" manualBreakCount="1">
    <brk id="16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F097F-1519-411A-8C17-76E1CE0D1486}">
  <dimension ref="A1:Z54"/>
  <sheetViews>
    <sheetView zoomScale="115" zoomScaleNormal="115" zoomScaleSheetLayoutView="130" workbookViewId="0">
      <selection activeCell="G29" sqref="G29"/>
    </sheetView>
  </sheetViews>
  <sheetFormatPr defaultRowHeight="14.4" x14ac:dyDescent="0.3"/>
  <cols>
    <col min="1" max="1" width="3" customWidth="1"/>
    <col min="2" max="2" width="13.6640625" style="1" customWidth="1"/>
    <col min="3" max="3" width="4.88671875" style="24" customWidth="1"/>
    <col min="4" max="4" width="17" style="65" customWidth="1"/>
    <col min="5" max="5" width="18.109375" style="1" customWidth="1"/>
    <col min="6" max="6" width="11.88671875" style="1" customWidth="1"/>
    <col min="7" max="7" width="2.77734375" customWidth="1"/>
    <col min="8" max="8" width="13.5546875" customWidth="1"/>
    <col min="9" max="9" width="16.5546875" customWidth="1"/>
    <col min="10" max="10" width="14" customWidth="1"/>
    <col min="11" max="11" width="6.21875" customWidth="1"/>
  </cols>
  <sheetData>
    <row r="1" spans="1:26" x14ac:dyDescent="0.3">
      <c r="A1" s="4"/>
      <c r="B1" s="58"/>
      <c r="C1" s="63"/>
      <c r="D1" s="6"/>
      <c r="E1" s="5"/>
      <c r="F1" s="5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6" x14ac:dyDescent="0.3">
      <c r="A2" s="5"/>
      <c r="B2" s="104" t="s">
        <v>1</v>
      </c>
      <c r="C2" s="110" t="s">
        <v>0</v>
      </c>
      <c r="D2" s="64" t="s">
        <v>2</v>
      </c>
      <c r="E2" s="2" t="s">
        <v>3</v>
      </c>
      <c r="F2" s="2" t="s">
        <v>4</v>
      </c>
      <c r="G2" s="4"/>
      <c r="H2" s="44" t="s">
        <v>4</v>
      </c>
      <c r="I2" s="44" t="s">
        <v>2</v>
      </c>
      <c r="J2" s="4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3">
      <c r="A3" s="4"/>
      <c r="B3" s="146">
        <v>45900</v>
      </c>
      <c r="C3" s="145">
        <v>1</v>
      </c>
      <c r="D3" s="147">
        <v>346000</v>
      </c>
      <c r="E3" s="145" t="s">
        <v>59</v>
      </c>
      <c r="F3" s="146" t="s">
        <v>47</v>
      </c>
      <c r="G3" s="4"/>
      <c r="H3" s="49" t="s">
        <v>48</v>
      </c>
      <c r="I3" s="50">
        <f>SUMIF(F3:F101,"з/п",D3:D101)</f>
        <v>14377000</v>
      </c>
      <c r="J3" s="45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3">
      <c r="A4" s="4"/>
      <c r="B4" s="135">
        <v>45912</v>
      </c>
      <c r="C4" s="62">
        <v>1</v>
      </c>
      <c r="D4" s="59">
        <v>1074000</v>
      </c>
      <c r="E4" s="58" t="s">
        <v>69</v>
      </c>
      <c r="F4" s="58" t="s">
        <v>70</v>
      </c>
      <c r="G4" s="4"/>
      <c r="H4" s="51" t="s">
        <v>11</v>
      </c>
      <c r="I4" s="52">
        <f>SUMIF(F3:F102,"М",D3:D102)</f>
        <v>0</v>
      </c>
      <c r="J4" s="4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3">
      <c r="A5" s="4"/>
      <c r="B5" s="146">
        <v>45913</v>
      </c>
      <c r="C5" s="145">
        <v>1</v>
      </c>
      <c r="D5" s="147">
        <v>3685000</v>
      </c>
      <c r="E5" s="148" t="s">
        <v>69</v>
      </c>
      <c r="F5" s="148" t="s">
        <v>70</v>
      </c>
      <c r="G5" s="4"/>
      <c r="H5" s="49" t="s">
        <v>6</v>
      </c>
      <c r="I5" s="50">
        <f>SUMIF(F3:F103,"др.",D3:D103)</f>
        <v>0</v>
      </c>
      <c r="J5" s="4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3">
      <c r="A6" s="4"/>
      <c r="B6" s="135">
        <v>45917</v>
      </c>
      <c r="C6" s="104">
        <v>1</v>
      </c>
      <c r="D6" s="59">
        <v>618000</v>
      </c>
      <c r="E6" s="104" t="s">
        <v>69</v>
      </c>
      <c r="F6" s="58" t="s">
        <v>70</v>
      </c>
      <c r="G6" s="4"/>
      <c r="H6" s="47" t="s">
        <v>20</v>
      </c>
      <c r="I6" s="48">
        <f>SUMIF(F3:F104,"пр.",D3:D104)</f>
        <v>0</v>
      </c>
      <c r="J6" s="4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3">
      <c r="A7" s="4"/>
      <c r="B7" s="135">
        <v>45923</v>
      </c>
      <c r="C7" s="62">
        <v>1</v>
      </c>
      <c r="D7" s="59">
        <v>9000000</v>
      </c>
      <c r="E7" s="58" t="s">
        <v>69</v>
      </c>
      <c r="F7" s="58" t="s">
        <v>70</v>
      </c>
      <c r="G7" s="4"/>
      <c r="H7" s="49" t="s">
        <v>28</v>
      </c>
      <c r="I7" s="55">
        <f>SUMIF(F3:F105,"ост.",D3:D105)</f>
        <v>346000</v>
      </c>
      <c r="J7" s="4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3">
      <c r="A8" s="4"/>
      <c r="B8" s="135">
        <v>45926</v>
      </c>
      <c r="C8" s="62">
        <v>1</v>
      </c>
      <c r="D8" s="59">
        <v>500000</v>
      </c>
      <c r="E8" s="58" t="s">
        <v>57</v>
      </c>
      <c r="F8" s="58" t="s">
        <v>117</v>
      </c>
      <c r="G8" s="4"/>
      <c r="H8" s="57" t="s">
        <v>29</v>
      </c>
      <c r="I8" s="52">
        <f>SUMIF(F3:F108,"раб/дох",D3:D108)</f>
        <v>550000</v>
      </c>
      <c r="J8" s="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3">
      <c r="A9" s="4"/>
      <c r="B9" s="135">
        <v>45930</v>
      </c>
      <c r="C9" s="62">
        <v>1</v>
      </c>
      <c r="D9" s="59">
        <v>50000</v>
      </c>
      <c r="E9" s="58" t="s">
        <v>118</v>
      </c>
      <c r="F9" s="58" t="s">
        <v>117</v>
      </c>
      <c r="G9" s="4"/>
      <c r="H9" s="49" t="s">
        <v>30</v>
      </c>
      <c r="I9" s="50">
        <v>0</v>
      </c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3">
      <c r="A10" s="4"/>
      <c r="B10" s="135"/>
      <c r="C10" s="62"/>
      <c r="D10" s="59"/>
      <c r="E10" s="58"/>
      <c r="F10" s="58"/>
      <c r="G10" s="4"/>
      <c r="H10" s="49"/>
      <c r="I10" s="50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3">
      <c r="A11" s="4"/>
      <c r="B11" s="135"/>
      <c r="C11" s="62"/>
      <c r="D11" s="59"/>
      <c r="E11" s="58"/>
      <c r="F11" s="58"/>
      <c r="G11" s="4"/>
      <c r="H11" s="51" t="s">
        <v>19</v>
      </c>
      <c r="I11" s="52">
        <f>SUMIF(F5:F110,"обор",D5:D110)</f>
        <v>0</v>
      </c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3">
      <c r="A12" s="4"/>
      <c r="B12" s="135"/>
      <c r="C12" s="62"/>
      <c r="D12" s="59"/>
      <c r="E12" s="58"/>
      <c r="F12" s="58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3">
      <c r="B13" s="135"/>
      <c r="C13" s="62"/>
      <c r="D13" s="59"/>
      <c r="E13" s="58"/>
      <c r="F13" s="58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3">
      <c r="A14" s="4"/>
      <c r="B14" s="135"/>
      <c r="C14" s="62"/>
      <c r="D14" s="59"/>
      <c r="E14" s="58"/>
      <c r="F14" s="58"/>
      <c r="G14" s="4"/>
      <c r="H14" s="22" t="s">
        <v>12</v>
      </c>
      <c r="I14" s="23">
        <f>SUM(I3:I11)</f>
        <v>15273000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3">
      <c r="A15" s="4"/>
      <c r="B15" s="135"/>
      <c r="C15" s="62"/>
      <c r="D15" s="59"/>
      <c r="E15" s="58"/>
      <c r="F15" s="5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3">
      <c r="A16" s="4"/>
      <c r="B16" s="135"/>
      <c r="C16" s="62"/>
      <c r="D16" s="59"/>
      <c r="E16" s="58"/>
      <c r="F16" s="5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3">
      <c r="A17" s="4"/>
      <c r="B17" s="135"/>
      <c r="C17" s="62"/>
      <c r="D17" s="59"/>
      <c r="E17" s="58"/>
      <c r="F17" s="5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3">
      <c r="A18" s="4"/>
      <c r="B18" s="135"/>
      <c r="C18" s="111"/>
      <c r="D18" s="59"/>
      <c r="E18" s="58"/>
      <c r="F18" s="5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3">
      <c r="A19" s="4"/>
      <c r="B19" s="135"/>
      <c r="C19" s="111"/>
      <c r="D19" s="59"/>
      <c r="E19" s="58"/>
      <c r="F19" s="5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3">
      <c r="A20" s="4"/>
      <c r="B20" s="5"/>
      <c r="C20" s="63"/>
      <c r="D20" s="6"/>
      <c r="E20" s="5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3">
      <c r="A21" s="4"/>
      <c r="B21" s="5"/>
      <c r="C21" s="63"/>
      <c r="D21" s="6"/>
      <c r="E21" s="5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3">
      <c r="A22" s="4"/>
      <c r="B22" s="5"/>
      <c r="C22" s="63"/>
      <c r="D22" s="6"/>
      <c r="E22" s="5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3">
      <c r="A23" s="4"/>
      <c r="B23" s="142" t="s">
        <v>34</v>
      </c>
      <c r="C23" s="68" t="s">
        <v>35</v>
      </c>
      <c r="D23" s="69">
        <f>SUM(D3:D19)</f>
        <v>15273000</v>
      </c>
      <c r="E23" s="5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3">
      <c r="A24" s="4"/>
      <c r="B24" s="142" t="s">
        <v>36</v>
      </c>
      <c r="C24" s="68" t="s">
        <v>35</v>
      </c>
      <c r="D24" s="69">
        <f>D23-I14</f>
        <v>0</v>
      </c>
      <c r="E24" s="5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3">
      <c r="A25" s="4"/>
      <c r="B25" s="5"/>
      <c r="C25" s="63"/>
      <c r="D25" s="6"/>
      <c r="E25" s="5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3">
      <c r="A26" s="4"/>
      <c r="B26" s="5"/>
      <c r="C26" s="63"/>
      <c r="D26" s="6"/>
      <c r="E26" s="5"/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3">
      <c r="A27" s="4"/>
      <c r="B27" s="5"/>
      <c r="C27" s="63"/>
      <c r="D27" s="6"/>
      <c r="E27" s="5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3">
      <c r="A28" s="4"/>
      <c r="B28" s="5"/>
      <c r="C28" s="63"/>
      <c r="D28" s="6"/>
      <c r="E28" s="5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3">
      <c r="A29" s="4"/>
      <c r="B29" s="5"/>
      <c r="C29" s="63"/>
      <c r="D29" s="6"/>
      <c r="E29" s="5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3">
      <c r="A30" s="4"/>
      <c r="B30" s="5"/>
      <c r="C30" s="63"/>
      <c r="D30" s="6"/>
      <c r="E30" s="5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3">
      <c r="A31" s="4"/>
      <c r="B31" s="5"/>
      <c r="C31" s="63"/>
      <c r="D31" s="6"/>
      <c r="E31" s="5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3">
      <c r="A32" s="4"/>
      <c r="B32" s="5"/>
      <c r="C32" s="63"/>
      <c r="D32" s="6"/>
      <c r="E32" s="5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3">
      <c r="A33" s="4"/>
      <c r="B33" s="5"/>
      <c r="C33" s="63"/>
      <c r="D33" s="6"/>
      <c r="E33" s="5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3">
      <c r="A34" s="4"/>
      <c r="B34" s="5"/>
      <c r="C34" s="63"/>
      <c r="D34" s="6"/>
      <c r="E34" s="5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3">
      <c r="A35" s="4"/>
      <c r="B35" s="5"/>
      <c r="C35" s="63"/>
      <c r="D35" s="6"/>
      <c r="E35" s="5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3">
      <c r="A36" s="4"/>
      <c r="B36" s="5"/>
      <c r="C36" s="63"/>
      <c r="D36" s="6"/>
      <c r="E36" s="5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3">
      <c r="A37" s="4"/>
      <c r="B37" s="5"/>
      <c r="C37" s="63"/>
      <c r="D37" s="6"/>
      <c r="E37" s="5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3">
      <c r="A38" s="4"/>
      <c r="B38" s="5"/>
      <c r="C38" s="63"/>
      <c r="D38" s="6"/>
      <c r="E38" s="5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3">
      <c r="A39" s="4"/>
      <c r="B39" s="5"/>
      <c r="C39" s="63"/>
      <c r="D39" s="6"/>
      <c r="E39" s="5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3">
      <c r="A40" s="4"/>
      <c r="B40" s="5"/>
      <c r="C40" s="63"/>
      <c r="D40" s="6"/>
      <c r="E40" s="5"/>
      <c r="F40" s="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3">
      <c r="A41" s="4"/>
      <c r="B41" s="5"/>
      <c r="C41" s="63"/>
      <c r="D41" s="6"/>
      <c r="E41" s="5"/>
      <c r="F41" s="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3">
      <c r="A42" s="4"/>
      <c r="B42" s="5"/>
      <c r="C42" s="63"/>
      <c r="D42" s="6"/>
      <c r="E42" s="5"/>
      <c r="F42" s="5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3">
      <c r="A43" s="4"/>
      <c r="B43" s="5"/>
      <c r="C43" s="63"/>
      <c r="D43" s="6"/>
      <c r="E43" s="5"/>
      <c r="F43" s="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3">
      <c r="A44" s="4"/>
      <c r="B44" s="5"/>
      <c r="C44" s="63"/>
      <c r="D44" s="6"/>
      <c r="E44" s="5"/>
      <c r="F44" s="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3">
      <c r="A45" s="4"/>
      <c r="B45" s="5"/>
      <c r="C45" s="63"/>
      <c r="D45" s="6"/>
      <c r="E45" s="5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3">
      <c r="A46" s="4"/>
      <c r="B46" s="5"/>
      <c r="C46" s="63"/>
      <c r="D46" s="6"/>
      <c r="E46" s="5"/>
      <c r="F46" s="5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3">
      <c r="A47" s="4"/>
      <c r="B47" s="5"/>
      <c r="C47" s="63"/>
      <c r="D47" s="6"/>
      <c r="E47" s="5"/>
      <c r="F47" s="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3">
      <c r="A48" s="4"/>
      <c r="B48" s="5"/>
      <c r="C48" s="63"/>
      <c r="D48" s="6"/>
      <c r="E48" s="5"/>
      <c r="F48" s="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3">
      <c r="A49" s="4"/>
      <c r="B49" s="5"/>
      <c r="C49" s="63"/>
      <c r="D49" s="6"/>
      <c r="E49" s="5"/>
      <c r="F49" s="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3">
      <c r="A50" s="4"/>
      <c r="B50" s="5"/>
      <c r="C50" s="63"/>
      <c r="D50" s="6"/>
      <c r="E50" s="5"/>
      <c r="F50" s="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3">
      <c r="A51" s="4"/>
      <c r="B51" s="5"/>
      <c r="C51" s="63"/>
      <c r="D51" s="6"/>
      <c r="E51" s="5"/>
      <c r="F51" s="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3">
      <c r="A52" s="4"/>
      <c r="B52" s="5"/>
      <c r="C52" s="63"/>
      <c r="D52" s="6"/>
      <c r="E52" s="5"/>
      <c r="F52" s="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3">
      <c r="A53" s="4"/>
      <c r="B53" s="5"/>
      <c r="C53" s="63"/>
      <c r="D53" s="6"/>
      <c r="E53" s="5"/>
      <c r="F53" s="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3">
      <c r="A54" s="4"/>
      <c r="B54" s="5"/>
      <c r="C54" s="63"/>
      <c r="D54" s="6"/>
      <c r="E54" s="5"/>
      <c r="F54" s="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</sheetData>
  <pageMargins left="0.7" right="0.7" top="0.75" bottom="0.75" header="0.3" footer="0.3"/>
  <pageSetup paperSize="9" scale="72" orientation="portrait" r:id="rId1"/>
  <colBreaks count="1" manualBreakCount="1">
    <brk id="11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70F07-C050-4AE7-9C36-CE33C2091E8E}">
  <dimension ref="B2:N36"/>
  <sheetViews>
    <sheetView tabSelected="1" topLeftCell="A11" zoomScaleNormal="100" zoomScaleSheetLayoutView="100" workbookViewId="0">
      <selection activeCell="I30" sqref="I30"/>
    </sheetView>
  </sheetViews>
  <sheetFormatPr defaultColWidth="9.33203125" defaultRowHeight="14.4" x14ac:dyDescent="0.3"/>
  <cols>
    <col min="1" max="1" width="3.109375" style="5" customWidth="1"/>
    <col min="2" max="2" width="13.21875" style="14" customWidth="1"/>
    <col min="3" max="3" width="16.21875" style="6" customWidth="1"/>
    <col min="4" max="4" width="2.77734375" style="5" customWidth="1"/>
    <col min="5" max="5" width="16.21875" style="14" customWidth="1"/>
    <col min="6" max="6" width="16.21875" style="5" customWidth="1"/>
    <col min="7" max="7" width="9" style="5" customWidth="1"/>
    <col min="8" max="8" width="13.5546875" style="5" customWidth="1"/>
    <col min="9" max="9" width="17.33203125" style="6" customWidth="1"/>
    <col min="10" max="10" width="2.77734375" style="5" customWidth="1"/>
    <col min="11" max="11" width="16.21875" style="14" customWidth="1"/>
    <col min="12" max="12" width="16.21875" style="5" customWidth="1"/>
    <col min="13" max="13" width="20.77734375" style="5" hidden="1" customWidth="1"/>
    <col min="14" max="14" width="11.5546875" style="5" bestFit="1" customWidth="1"/>
    <col min="15" max="15" width="12" style="5" customWidth="1"/>
    <col min="16" max="16" width="15.5546875" style="5" customWidth="1"/>
    <col min="17" max="16384" width="9.33203125" style="5"/>
  </cols>
  <sheetData>
    <row r="2" spans="2:14" ht="15.6" x14ac:dyDescent="0.3">
      <c r="B2" s="176" t="s">
        <v>39</v>
      </c>
      <c r="C2" s="177"/>
      <c r="D2" s="177"/>
      <c r="E2" s="177"/>
      <c r="F2" s="178"/>
      <c r="G2" s="7"/>
      <c r="H2" s="181" t="s">
        <v>40</v>
      </c>
      <c r="I2" s="182"/>
      <c r="J2" s="182"/>
      <c r="K2" s="182"/>
      <c r="L2" s="183"/>
    </row>
    <row r="3" spans="2:14" ht="6.75" customHeight="1" x14ac:dyDescent="0.3"/>
    <row r="4" spans="2:14" x14ac:dyDescent="0.3">
      <c r="B4" s="179" t="s">
        <v>25</v>
      </c>
      <c r="C4" s="180"/>
      <c r="E4" s="174" t="s">
        <v>17</v>
      </c>
      <c r="F4" s="175"/>
      <c r="H4" s="174" t="s">
        <v>25</v>
      </c>
      <c r="I4" s="175"/>
      <c r="K4" s="174" t="s">
        <v>17</v>
      </c>
      <c r="L4" s="175"/>
    </row>
    <row r="5" spans="2:14" x14ac:dyDescent="0.3">
      <c r="B5" s="15" t="s">
        <v>18</v>
      </c>
      <c r="C5" s="8">
        <v>17980000</v>
      </c>
      <c r="E5" s="36" t="str">
        <f>'01.09.2025-30.09.2025(расход)'!H2</f>
        <v>Дурбек</v>
      </c>
      <c r="F5" s="26">
        <v>1500000</v>
      </c>
      <c r="H5" s="25" t="s">
        <v>8</v>
      </c>
      <c r="I5" s="26">
        <f>'01.09.2025-30.09.2025 (приход)'!I3</f>
        <v>14377000</v>
      </c>
      <c r="K5" s="36" t="str">
        <f>'01.09.2025-30.09.2025(расход)'!H2</f>
        <v>Дурбек</v>
      </c>
      <c r="L5" s="37">
        <f>'01.09.2025-30.09.2025(расход)'!I2</f>
        <v>735000</v>
      </c>
      <c r="N5" s="21"/>
    </row>
    <row r="6" spans="2:14" x14ac:dyDescent="0.3">
      <c r="B6" s="16"/>
      <c r="C6" s="9" t="s">
        <v>33</v>
      </c>
      <c r="E6" s="38" t="str">
        <f>'01.09.2025-30.09.2025(расход)'!H3</f>
        <v>Сарвиноз</v>
      </c>
      <c r="F6" s="28">
        <v>200000</v>
      </c>
      <c r="H6" s="27" t="str">
        <f>'01.09.2025-30.09.2025 (приход)'!H4</f>
        <v>Мама</v>
      </c>
      <c r="I6" s="28">
        <f>'01.09.2025-30.09.2025 (приход)'!I4</f>
        <v>0</v>
      </c>
      <c r="K6" s="38" t="str">
        <f>'01.09.2025-30.09.2025(расход)'!H3</f>
        <v>Сарвиноз</v>
      </c>
      <c r="L6" s="39">
        <f>'01.09.2025-30.09.2025(расход)'!I3</f>
        <v>181000</v>
      </c>
    </row>
    <row r="7" spans="2:14" x14ac:dyDescent="0.3">
      <c r="B7" s="17"/>
      <c r="C7" s="10" t="s">
        <v>33</v>
      </c>
      <c r="E7" s="40" t="str">
        <f>'01.09.2025-30.09.2025(расход)'!H4</f>
        <v>Домой</v>
      </c>
      <c r="F7" s="30">
        <v>2300000</v>
      </c>
      <c r="H7" s="29" t="s">
        <v>6</v>
      </c>
      <c r="I7" s="42">
        <f>'01.09.2025-30.09.2025 (приход)'!I5</f>
        <v>0</v>
      </c>
      <c r="K7" s="40" t="str">
        <f>'01.09.2025-30.09.2025(расход)'!H4</f>
        <v>Домой</v>
      </c>
      <c r="L7" s="41">
        <f ca="1">'01.09.2025-30.09.2025(расход)'!I4</f>
        <v>3300000</v>
      </c>
    </row>
    <row r="8" spans="2:14" x14ac:dyDescent="0.3">
      <c r="B8" s="18" t="s">
        <v>20</v>
      </c>
      <c r="C8" s="11"/>
      <c r="E8" s="38" t="str">
        <f>'01.09.2025-30.09.2025(расход)'!H5</f>
        <v>Ком-ые/услуги</v>
      </c>
      <c r="F8" s="28">
        <v>1000000</v>
      </c>
      <c r="H8" s="27" t="s">
        <v>20</v>
      </c>
      <c r="I8" s="28">
        <f>'01.09.2025-30.09.2025 (приход)'!I6</f>
        <v>0</v>
      </c>
      <c r="K8" s="38" t="str">
        <f>'01.09.2025-30.09.2025(расход)'!H5</f>
        <v>Ком-ые/услуги</v>
      </c>
      <c r="L8" s="39">
        <f>'01.09.2025-30.09.2025(расход)'!I5</f>
        <v>30000</v>
      </c>
    </row>
    <row r="9" spans="2:14" x14ac:dyDescent="0.3">
      <c r="B9" s="92"/>
      <c r="C9" s="93"/>
      <c r="E9" s="40" t="str">
        <f>'01.09.2025-30.09.2025(расход)'!N5</f>
        <v>МухаммадУмар</v>
      </c>
      <c r="F9" s="30">
        <v>300000</v>
      </c>
      <c r="H9" s="29" t="s">
        <v>19</v>
      </c>
      <c r="I9" s="30">
        <f>'01.09.2025-30.09.2025 (приход)'!I11</f>
        <v>0</v>
      </c>
      <c r="K9" s="40" t="str">
        <f>E9</f>
        <v>МухаммадУмар</v>
      </c>
      <c r="L9" s="41">
        <f>'01.09.2025-30.09.2025(расход)'!O5</f>
        <v>230000</v>
      </c>
    </row>
    <row r="10" spans="2:14" x14ac:dyDescent="0.3">
      <c r="C10" s="5"/>
      <c r="E10" s="38" t="str">
        <f>'01.09.2025-30.09.2025(расход)'!H6</f>
        <v>Самир</v>
      </c>
      <c r="F10" s="28"/>
      <c r="H10" s="56" t="s">
        <v>28</v>
      </c>
      <c r="I10" s="28">
        <f>'01.09.2025-30.09.2025 (приход)'!I7</f>
        <v>346000</v>
      </c>
      <c r="K10" s="38" t="str">
        <f>'01.09.2025-30.09.2025(расход)'!H6</f>
        <v>Самир</v>
      </c>
      <c r="L10" s="39">
        <f>'01.09.2025-30.09.2025(расход)'!I6</f>
        <v>199000</v>
      </c>
    </row>
    <row r="11" spans="2:14" x14ac:dyDescent="0.3">
      <c r="C11" s="5"/>
      <c r="E11" s="40" t="str">
        <f>'01.09.2025-30.09.2025(расход)'!H7</f>
        <v>Мама</v>
      </c>
      <c r="F11" s="30">
        <v>300000</v>
      </c>
      <c r="H11" s="29" t="s">
        <v>29</v>
      </c>
      <c r="I11" s="30">
        <f>'01.09.2025-30.09.2025 (приход)'!I8</f>
        <v>550000</v>
      </c>
      <c r="K11" s="40" t="str">
        <f>'01.09.2025-30.09.2025(расход)'!H7</f>
        <v>Мама</v>
      </c>
      <c r="L11" s="41">
        <f ca="1">'01.09.2025-30.09.2025(расход)'!I7</f>
        <v>900000</v>
      </c>
    </row>
    <row r="12" spans="2:14" x14ac:dyDescent="0.3">
      <c r="E12" s="38" t="str">
        <f>'01.09.2025-30.09.2025(расход)'!K2</f>
        <v>Благотвор-ть</v>
      </c>
      <c r="F12" s="28">
        <v>500000</v>
      </c>
      <c r="H12" s="31" t="s">
        <v>30</v>
      </c>
      <c r="I12" s="32">
        <f>'01.09.2025-30.09.2025 (приход)'!I9</f>
        <v>0</v>
      </c>
      <c r="K12" s="38" t="str">
        <f>'01.09.2025-30.09.2025(расход)'!K2</f>
        <v>Благотвор-ть</v>
      </c>
      <c r="L12" s="39">
        <f>'01.09.2025-30.09.2025(расход)'!L2</f>
        <v>533878</v>
      </c>
    </row>
    <row r="13" spans="2:14" x14ac:dyDescent="0.3">
      <c r="E13" s="40" t="str">
        <f>'01.09.2025-30.09.2025(расход)'!K3</f>
        <v>Де-факто</v>
      </c>
      <c r="F13" s="30">
        <v>500000</v>
      </c>
      <c r="K13" s="40" t="str">
        <f>'01.09.2025-30.09.2025(расход)'!K3</f>
        <v>Де-факто</v>
      </c>
      <c r="L13" s="42">
        <f ca="1">'01.09.2025-30.09.2025(расход)'!L3</f>
        <v>550000</v>
      </c>
    </row>
    <row r="14" spans="2:14" x14ac:dyDescent="0.3">
      <c r="C14" s="5"/>
      <c r="E14" s="38" t="str">
        <f>'01.09.2025-30.09.2025(расход)'!K4</f>
        <v>Папе</v>
      </c>
      <c r="F14" s="28">
        <v>300000</v>
      </c>
      <c r="K14" s="38" t="str">
        <f>'01.09.2025-30.09.2025(расход)'!K4</f>
        <v>Папе</v>
      </c>
      <c r="L14" s="39">
        <f ca="1">'01.09.2025-30.09.2025(расход)'!L4</f>
        <v>950000</v>
      </c>
    </row>
    <row r="15" spans="2:14" x14ac:dyDescent="0.3">
      <c r="E15" s="40" t="str">
        <f>'01.09.2025-30.09.2025(расход)'!K6</f>
        <v>Здоровье</v>
      </c>
      <c r="F15" s="30">
        <v>500000</v>
      </c>
      <c r="K15" s="40" t="str">
        <f>'01.09.2025-30.09.2025(расход)'!K6</f>
        <v>Здоровье</v>
      </c>
      <c r="L15" s="41">
        <f>'01.09.2025-30.09.2025(расход)'!L6</f>
        <v>761000</v>
      </c>
    </row>
    <row r="16" spans="2:14" x14ac:dyDescent="0.3">
      <c r="E16" s="38" t="str">
        <f>'01.09.2025-30.09.2025(расход)'!K7</f>
        <v>Рассрочка</v>
      </c>
      <c r="F16" s="28"/>
      <c r="K16" s="38" t="str">
        <f>'01.09.2025-30.09.2025(расход)'!N8</f>
        <v>Обналичка</v>
      </c>
      <c r="L16" s="39">
        <f>'01.09.2025-30.09.2025(расход)'!S6</f>
        <v>235000</v>
      </c>
    </row>
    <row r="17" spans="2:13" x14ac:dyDescent="0.3">
      <c r="E17" s="40" t="str">
        <f>'01.09.2025-30.09.2025(расход)'!N2</f>
        <v>Авто + бензин</v>
      </c>
      <c r="F17" s="30">
        <v>300000</v>
      </c>
      <c r="K17" s="40" t="str">
        <f>'01.09.2025-30.09.2025(расход)'!K7</f>
        <v>Рассрочка</v>
      </c>
      <c r="L17" s="41">
        <f>'01.09.2025-30.09.2025(расход)'!L7</f>
        <v>0</v>
      </c>
    </row>
    <row r="18" spans="2:13" x14ac:dyDescent="0.3">
      <c r="E18" s="27" t="s">
        <v>26</v>
      </c>
      <c r="F18" s="28"/>
      <c r="K18" s="38" t="str">
        <f>'01.09.2025-30.09.2025(расход)'!N2</f>
        <v>Авто + бензин</v>
      </c>
      <c r="L18" s="39">
        <f>'01.09.2025-30.09.2025(расход)'!O2</f>
        <v>15000</v>
      </c>
    </row>
    <row r="19" spans="2:13" ht="17.25" customHeight="1" x14ac:dyDescent="0.3">
      <c r="E19" s="29" t="s">
        <v>31</v>
      </c>
      <c r="F19" s="30">
        <v>1000000</v>
      </c>
      <c r="K19" s="29" t="s">
        <v>26</v>
      </c>
      <c r="L19" s="94">
        <f>'01.09.2025-30.09.2025(расход)'!O3</f>
        <v>0</v>
      </c>
    </row>
    <row r="20" spans="2:13" x14ac:dyDescent="0.3">
      <c r="E20" s="31" t="str">
        <f>K23</f>
        <v>Сбережения</v>
      </c>
      <c r="F20" s="32">
        <v>9000000</v>
      </c>
      <c r="K20" s="27" t="str">
        <f>'01.09.2025-30.09.2025(расход)'!K5</f>
        <v>Разв-ие/обуч</v>
      </c>
      <c r="L20" s="28">
        <f>'01.09.2025-30.09.2025(расход)'!L5</f>
        <v>0</v>
      </c>
    </row>
    <row r="21" spans="2:13" ht="12" customHeight="1" x14ac:dyDescent="0.3">
      <c r="K21" s="29" t="s">
        <v>41</v>
      </c>
      <c r="L21" s="30">
        <f ca="1">'01.09.2025-30.09.2025(расход)'!L8</f>
        <v>130000</v>
      </c>
    </row>
    <row r="22" spans="2:13" x14ac:dyDescent="0.3">
      <c r="K22" s="27" t="s">
        <v>27</v>
      </c>
      <c r="L22" s="28">
        <f>'01.09.2025-30.09.2025(расход)'!O6</f>
        <v>0</v>
      </c>
    </row>
    <row r="23" spans="2:13" x14ac:dyDescent="0.3">
      <c r="K23" s="29" t="str">
        <f>'01.09.2025-30.09.2025(расход)'!H8</f>
        <v>Сбережения</v>
      </c>
      <c r="L23" s="30">
        <f>'01.09.2025-30.09.2025(расход)'!I8</f>
        <v>4500000</v>
      </c>
    </row>
    <row r="24" spans="2:13" x14ac:dyDescent="0.3">
      <c r="K24" s="31" t="s">
        <v>31</v>
      </c>
      <c r="L24" s="32">
        <f>'01.09.2025-30.09.2025(расход)'!O7</f>
        <v>1250000</v>
      </c>
    </row>
    <row r="26" spans="2:13" x14ac:dyDescent="0.3">
      <c r="B26" s="19" t="s">
        <v>12</v>
      </c>
      <c r="C26" s="12">
        <f>SUM(C5:C16)</f>
        <v>17980000</v>
      </c>
      <c r="E26" s="19" t="s">
        <v>12</v>
      </c>
      <c r="F26" s="12">
        <f>SUM(F5:F20)</f>
        <v>17700000</v>
      </c>
      <c r="H26" s="19" t="s">
        <v>12</v>
      </c>
      <c r="I26" s="12">
        <f>SUM(I5:I18)</f>
        <v>15273000</v>
      </c>
      <c r="K26" s="19" t="s">
        <v>37</v>
      </c>
      <c r="L26" s="12">
        <f ca="1">SUM(L5:L15,L24,L17:L22)-500000</f>
        <v>9264878</v>
      </c>
      <c r="M26" s="6">
        <f ca="1">L26-L19-1200000</f>
        <v>8064878</v>
      </c>
    </row>
    <row r="27" spans="2:13" x14ac:dyDescent="0.3">
      <c r="K27" s="19" t="s">
        <v>12</v>
      </c>
      <c r="L27" s="12">
        <f ca="1">SUM(L5:L25)</f>
        <v>14499878</v>
      </c>
    </row>
    <row r="29" spans="2:13" x14ac:dyDescent="0.3">
      <c r="B29" s="20" t="s">
        <v>21</v>
      </c>
      <c r="C29" s="13">
        <f>(C26-F26)</f>
        <v>280000</v>
      </c>
      <c r="H29" s="99" t="s">
        <v>21</v>
      </c>
      <c r="I29" s="100">
        <f ca="1">(I26-L27)</f>
        <v>773122</v>
      </c>
      <c r="K29" s="136"/>
      <c r="L29" s="137"/>
      <c r="M29" s="108" t="s">
        <v>58</v>
      </c>
    </row>
    <row r="30" spans="2:13" x14ac:dyDescent="0.3">
      <c r="H30" s="101" t="s">
        <v>53</v>
      </c>
      <c r="I30" s="102">
        <f>L16</f>
        <v>235000</v>
      </c>
      <c r="K30" s="138"/>
      <c r="L30" s="137"/>
    </row>
    <row r="31" spans="2:13" x14ac:dyDescent="0.3">
      <c r="K31" s="138"/>
      <c r="L31" s="137"/>
    </row>
    <row r="32" spans="2:13" x14ac:dyDescent="0.3">
      <c r="K32" s="138"/>
      <c r="L32" s="137"/>
    </row>
    <row r="33" spans="11:12" x14ac:dyDescent="0.3">
      <c r="K33" s="138"/>
      <c r="L33" s="137"/>
    </row>
    <row r="34" spans="11:12" x14ac:dyDescent="0.3">
      <c r="K34" s="139"/>
      <c r="L34" s="137"/>
    </row>
    <row r="35" spans="11:12" x14ac:dyDescent="0.3">
      <c r="K35" s="139"/>
      <c r="L35" s="137"/>
    </row>
    <row r="36" spans="11:12" x14ac:dyDescent="0.3">
      <c r="K36" s="140"/>
      <c r="L36" s="141"/>
    </row>
  </sheetData>
  <mergeCells count="6">
    <mergeCell ref="K4:L4"/>
    <mergeCell ref="E4:F4"/>
    <mergeCell ref="B2:F2"/>
    <mergeCell ref="B4:C4"/>
    <mergeCell ref="H2:L2"/>
    <mergeCell ref="H4:I4"/>
  </mergeCells>
  <conditionalFormatting sqref="H29:I29">
    <cfRule type="expression" dxfId="17" priority="6">
      <formula>$I$29&lt;0</formula>
    </cfRule>
  </conditionalFormatting>
  <conditionalFormatting sqref="L5">
    <cfRule type="expression" dxfId="16" priority="4">
      <formula>$L$5&gt;$F$5</formula>
    </cfRule>
  </conditionalFormatting>
  <conditionalFormatting sqref="L6">
    <cfRule type="expression" dxfId="15" priority="18">
      <formula>$L$6&gt;$F$6</formula>
    </cfRule>
  </conditionalFormatting>
  <conditionalFormatting sqref="L7">
    <cfRule type="expression" dxfId="14" priority="17">
      <formula>$L$7&gt;$F$7</formula>
    </cfRule>
  </conditionalFormatting>
  <conditionalFormatting sqref="L8:L9">
    <cfRule type="expression" dxfId="13" priority="16">
      <formula>$L$8&gt;$F$8</formula>
    </cfRule>
  </conditionalFormatting>
  <conditionalFormatting sqref="L9">
    <cfRule type="expression" dxfId="12" priority="3">
      <formula>$L$9&gt;$F$9</formula>
    </cfRule>
  </conditionalFormatting>
  <conditionalFormatting sqref="L10">
    <cfRule type="expression" dxfId="11" priority="15">
      <formula>$L$10&gt;$F$10</formula>
    </cfRule>
  </conditionalFormatting>
  <conditionalFormatting sqref="L11">
    <cfRule type="expression" dxfId="10" priority="14">
      <formula>$L$11&gt;$F$11</formula>
    </cfRule>
  </conditionalFormatting>
  <conditionalFormatting sqref="L12">
    <cfRule type="expression" dxfId="9" priority="13">
      <formula>$L$12&gt;$F$12</formula>
    </cfRule>
  </conditionalFormatting>
  <conditionalFormatting sqref="L13">
    <cfRule type="expression" dxfId="8" priority="19">
      <formula>$L$13&gt;$F$13</formula>
    </cfRule>
  </conditionalFormatting>
  <conditionalFormatting sqref="L14">
    <cfRule type="expression" dxfId="7" priority="12">
      <formula>$L$14&gt;$F$14</formula>
    </cfRule>
  </conditionalFormatting>
  <conditionalFormatting sqref="L15">
    <cfRule type="cellIs" dxfId="6" priority="1" operator="greaterThan">
      <formula>$F$15</formula>
    </cfRule>
    <cfRule type="expression" dxfId="5" priority="24">
      <formula>$L$15&gt;#REF!</formula>
    </cfRule>
  </conditionalFormatting>
  <conditionalFormatting sqref="L16">
    <cfRule type="expression" dxfId="4" priority="25">
      <formula>$L$16&gt;$F$15</formula>
    </cfRule>
  </conditionalFormatting>
  <conditionalFormatting sqref="L17">
    <cfRule type="expression" dxfId="3" priority="26">
      <formula>$L$17&gt;$F$16</formula>
    </cfRule>
  </conditionalFormatting>
  <conditionalFormatting sqref="L18">
    <cfRule type="expression" dxfId="2" priority="27">
      <formula>$L$18&gt;$F$17</formula>
    </cfRule>
  </conditionalFormatting>
  <conditionalFormatting sqref="L19">
    <cfRule type="expression" dxfId="1" priority="28">
      <formula>$L$19&gt;$F$18</formula>
    </cfRule>
  </conditionalFormatting>
  <conditionalFormatting sqref="K29">
    <cfRule type="expression" dxfId="0" priority="2">
      <formula>$I$29&lt;0</formula>
    </cfRule>
  </conditionalFormatting>
  <hyperlinks>
    <hyperlink ref="L13" location="'17_февраль-17_март(расход)'!D25" display="'17_февраль-17_март(расход)'!D25" xr:uid="{DE311E74-2C85-4768-A50B-B9C622815AB0}"/>
  </hyperlinks>
  <pageMargins left="0.7" right="0.7" top="0.75" bottom="0.75" header="0.3" footer="0.3"/>
  <pageSetup paperSize="9" scale="5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937-8EE1-4CC6-9613-21B6B80B87FB}">
  <dimension ref="B1:J47"/>
  <sheetViews>
    <sheetView workbookViewId="0">
      <selection activeCell="B9" sqref="B9"/>
    </sheetView>
  </sheetViews>
  <sheetFormatPr defaultColWidth="9.33203125" defaultRowHeight="14.4" x14ac:dyDescent="0.3"/>
  <cols>
    <col min="1" max="1" width="9.33203125" style="3"/>
    <col min="2" max="2" width="11.77734375" style="113" customWidth="1"/>
    <col min="3" max="3" width="4.6640625" style="113" customWidth="1"/>
    <col min="4" max="4" width="12" style="123" customWidth="1"/>
    <col min="5" max="5" width="11.109375" style="123" customWidth="1"/>
    <col min="6" max="6" width="17.88671875" style="113" customWidth="1"/>
    <col min="7" max="7" width="15.44140625" style="121" customWidth="1"/>
    <col min="8" max="8" width="20.21875" style="3" bestFit="1" customWidth="1"/>
    <col min="9" max="9" width="10.21875" style="3" bestFit="1" customWidth="1"/>
    <col min="10" max="10" width="16.6640625" style="3" customWidth="1"/>
    <col min="11" max="16384" width="9.33203125" style="3"/>
  </cols>
  <sheetData>
    <row r="1" spans="2:10" x14ac:dyDescent="0.3">
      <c r="B1" s="112"/>
      <c r="G1" s="116"/>
      <c r="H1" s="90"/>
    </row>
    <row r="2" spans="2:10" x14ac:dyDescent="0.3">
      <c r="G2" s="117"/>
      <c r="H2" s="61"/>
    </row>
    <row r="3" spans="2:10" x14ac:dyDescent="0.3">
      <c r="G3" s="118"/>
      <c r="H3" s="61"/>
      <c r="J3" s="84"/>
    </row>
    <row r="4" spans="2:10" x14ac:dyDescent="0.3">
      <c r="B4" s="186" t="s">
        <v>49</v>
      </c>
      <c r="C4" s="186"/>
      <c r="D4" s="186"/>
      <c r="E4" s="186"/>
      <c r="F4" s="119">
        <f>SUM(SUM(D6:D32))-(SUM(E7:E32))</f>
        <v>350</v>
      </c>
      <c r="G4" s="184" t="s">
        <v>54</v>
      </c>
      <c r="H4" s="85"/>
      <c r="I4" s="134"/>
      <c r="J4" s="86"/>
    </row>
    <row r="5" spans="2:10" x14ac:dyDescent="0.3">
      <c r="B5" s="114" t="s">
        <v>1</v>
      </c>
      <c r="C5" s="114" t="s">
        <v>0</v>
      </c>
      <c r="D5" s="124" t="s">
        <v>50</v>
      </c>
      <c r="E5" s="124" t="s">
        <v>51</v>
      </c>
      <c r="F5" s="114" t="s">
        <v>52</v>
      </c>
      <c r="G5" s="185"/>
      <c r="H5" s="85"/>
    </row>
    <row r="6" spans="2:10" x14ac:dyDescent="0.3">
      <c r="B6" s="187">
        <v>45924</v>
      </c>
      <c r="C6" s="122">
        <v>1</v>
      </c>
      <c r="D6" s="130">
        <v>366</v>
      </c>
      <c r="E6" s="125"/>
      <c r="F6" s="122" t="s">
        <v>70</v>
      </c>
      <c r="G6" s="129">
        <f>'01.09.2025-30.09.2025(расход)'!D50</f>
        <v>4500000</v>
      </c>
      <c r="H6" s="85"/>
    </row>
    <row r="7" spans="2:10" x14ac:dyDescent="0.3">
      <c r="B7" s="188"/>
      <c r="C7" s="122">
        <v>2</v>
      </c>
      <c r="D7" s="124"/>
      <c r="E7" s="125">
        <f>16-E8</f>
        <v>0</v>
      </c>
      <c r="F7" s="131" t="s">
        <v>116</v>
      </c>
      <c r="G7" s="129"/>
      <c r="H7" s="85"/>
    </row>
    <row r="8" spans="2:10" x14ac:dyDescent="0.3">
      <c r="B8" s="132">
        <v>45928</v>
      </c>
      <c r="C8" s="122"/>
      <c r="D8" s="124"/>
      <c r="E8" s="125">
        <v>16</v>
      </c>
      <c r="F8" s="131" t="s">
        <v>122</v>
      </c>
      <c r="G8" s="129"/>
      <c r="H8" s="61"/>
    </row>
    <row r="9" spans="2:10" x14ac:dyDescent="0.3">
      <c r="B9" s="132"/>
      <c r="C9" s="122"/>
      <c r="D9" s="124"/>
      <c r="E9" s="125"/>
      <c r="F9" s="131"/>
      <c r="G9" s="129"/>
      <c r="H9" s="61"/>
    </row>
    <row r="10" spans="2:10" x14ac:dyDescent="0.3">
      <c r="B10" s="115"/>
      <c r="C10" s="122"/>
      <c r="D10" s="124"/>
      <c r="E10" s="125"/>
      <c r="F10" s="131"/>
      <c r="G10" s="129"/>
      <c r="H10" s="61"/>
    </row>
    <row r="11" spans="2:10" x14ac:dyDescent="0.3">
      <c r="B11" s="115"/>
      <c r="C11" s="122"/>
      <c r="D11" s="124"/>
      <c r="E11" s="125"/>
      <c r="F11" s="131"/>
      <c r="G11" s="129"/>
    </row>
    <row r="12" spans="2:10" x14ac:dyDescent="0.3">
      <c r="B12" s="115"/>
      <c r="C12" s="122"/>
      <c r="D12" s="124"/>
      <c r="E12" s="125"/>
      <c r="F12" s="131"/>
      <c r="G12" s="129"/>
      <c r="H12" s="90"/>
    </row>
    <row r="13" spans="2:10" x14ac:dyDescent="0.3">
      <c r="B13" s="115"/>
      <c r="C13" s="122"/>
      <c r="D13" s="124"/>
      <c r="E13" s="125"/>
      <c r="F13" s="131"/>
      <c r="G13" s="129"/>
      <c r="H13" s="61"/>
    </row>
    <row r="14" spans="2:10" x14ac:dyDescent="0.3">
      <c r="B14" s="115"/>
      <c r="C14" s="122"/>
      <c r="D14" s="124"/>
      <c r="E14" s="125"/>
      <c r="F14" s="131"/>
      <c r="G14" s="129"/>
      <c r="H14" s="61"/>
    </row>
    <row r="15" spans="2:10" x14ac:dyDescent="0.3">
      <c r="B15" s="115"/>
      <c r="C15" s="122"/>
      <c r="D15" s="124"/>
      <c r="E15" s="125"/>
      <c r="F15" s="131"/>
      <c r="G15" s="129"/>
      <c r="H15" s="85"/>
    </row>
    <row r="16" spans="2:10" x14ac:dyDescent="0.3">
      <c r="B16" s="115"/>
      <c r="C16" s="122"/>
      <c r="D16" s="124"/>
      <c r="E16" s="125"/>
      <c r="F16" s="131"/>
      <c r="G16" s="129"/>
      <c r="H16" s="85"/>
    </row>
    <row r="17" spans="2:10" x14ac:dyDescent="0.3">
      <c r="B17" s="115"/>
      <c r="C17" s="122"/>
      <c r="D17" s="124"/>
      <c r="E17" s="125"/>
      <c r="F17" s="131"/>
      <c r="G17" s="129"/>
      <c r="H17" s="85"/>
    </row>
    <row r="18" spans="2:10" x14ac:dyDescent="0.3">
      <c r="B18" s="115"/>
      <c r="C18" s="122"/>
      <c r="D18" s="124"/>
      <c r="E18" s="125"/>
      <c r="F18" s="131"/>
      <c r="G18" s="129"/>
      <c r="H18" s="61"/>
    </row>
    <row r="19" spans="2:10" x14ac:dyDescent="0.3">
      <c r="B19" s="115"/>
      <c r="C19" s="122"/>
      <c r="D19" s="124"/>
      <c r="E19" s="125"/>
      <c r="F19" s="131"/>
      <c r="G19" s="129"/>
    </row>
    <row r="20" spans="2:10" x14ac:dyDescent="0.3">
      <c r="B20" s="115"/>
      <c r="C20" s="122"/>
      <c r="D20" s="124"/>
      <c r="E20" s="125"/>
      <c r="F20" s="131"/>
      <c r="G20" s="129"/>
    </row>
    <row r="21" spans="2:10" x14ac:dyDescent="0.3">
      <c r="B21" s="115"/>
      <c r="C21" s="122"/>
      <c r="D21" s="124"/>
      <c r="E21" s="125"/>
      <c r="F21" s="131"/>
      <c r="G21" s="129"/>
    </row>
    <row r="22" spans="2:10" x14ac:dyDescent="0.3">
      <c r="B22" s="115"/>
      <c r="C22" s="122"/>
      <c r="D22" s="124"/>
      <c r="E22" s="125"/>
      <c r="F22" s="131"/>
      <c r="G22" s="129"/>
    </row>
    <row r="23" spans="2:10" x14ac:dyDescent="0.3">
      <c r="B23" s="115"/>
      <c r="C23" s="122"/>
      <c r="D23" s="124"/>
      <c r="E23" s="125"/>
      <c r="F23" s="131"/>
      <c r="G23" s="129"/>
    </row>
    <row r="24" spans="2:10" x14ac:dyDescent="0.3">
      <c r="B24" s="115"/>
      <c r="C24" s="122"/>
      <c r="D24" s="124"/>
      <c r="E24" s="125"/>
      <c r="F24" s="131"/>
      <c r="G24" s="129"/>
    </row>
    <row r="25" spans="2:10" x14ac:dyDescent="0.3">
      <c r="B25" s="115"/>
      <c r="C25" s="122"/>
      <c r="D25" s="124"/>
      <c r="E25" s="125"/>
      <c r="F25" s="131"/>
      <c r="G25" s="129"/>
    </row>
    <row r="26" spans="2:10" x14ac:dyDescent="0.3">
      <c r="B26" s="115"/>
      <c r="C26" s="122"/>
      <c r="D26" s="124"/>
      <c r="E26" s="125"/>
      <c r="F26" s="131"/>
      <c r="G26" s="129"/>
    </row>
    <row r="27" spans="2:10" x14ac:dyDescent="0.3">
      <c r="B27" s="115"/>
      <c r="C27" s="122"/>
      <c r="D27" s="124"/>
      <c r="E27" s="125"/>
      <c r="F27" s="131"/>
      <c r="G27" s="129"/>
    </row>
    <row r="28" spans="2:10" x14ac:dyDescent="0.3">
      <c r="B28" s="115"/>
      <c r="C28" s="122"/>
      <c r="D28" s="124"/>
      <c r="E28" s="125"/>
      <c r="F28" s="131"/>
      <c r="G28" s="129"/>
    </row>
    <row r="29" spans="2:10" x14ac:dyDescent="0.3">
      <c r="B29" s="115"/>
      <c r="C29" s="122"/>
      <c r="D29" s="124"/>
      <c r="E29" s="125"/>
      <c r="F29" s="131"/>
      <c r="G29" s="129"/>
    </row>
    <row r="31" spans="2:10" x14ac:dyDescent="0.3">
      <c r="B31" s="112"/>
      <c r="G31" s="116"/>
      <c r="H31" s="90"/>
    </row>
    <row r="32" spans="2:10" x14ac:dyDescent="0.3">
      <c r="G32" s="117"/>
      <c r="H32" s="61"/>
      <c r="J32" s="87"/>
    </row>
    <row r="33" spans="2:10" x14ac:dyDescent="0.3">
      <c r="G33" s="118"/>
      <c r="H33" s="61"/>
      <c r="J33" s="88"/>
    </row>
    <row r="34" spans="2:10" x14ac:dyDescent="0.3">
      <c r="G34" s="117"/>
      <c r="H34" s="85"/>
      <c r="J34" s="89"/>
    </row>
    <row r="35" spans="2:10" x14ac:dyDescent="0.3">
      <c r="G35" s="117"/>
      <c r="H35" s="85"/>
    </row>
    <row r="36" spans="2:10" x14ac:dyDescent="0.3">
      <c r="G36" s="117"/>
      <c r="H36" s="85"/>
    </row>
    <row r="37" spans="2:10" x14ac:dyDescent="0.3">
      <c r="G37" s="120"/>
      <c r="H37" s="61"/>
    </row>
    <row r="39" spans="2:10" x14ac:dyDescent="0.3">
      <c r="B39" s="112"/>
      <c r="G39" s="116"/>
      <c r="H39" s="90"/>
    </row>
    <row r="40" spans="2:10" x14ac:dyDescent="0.3">
      <c r="G40" s="117"/>
      <c r="H40" s="61"/>
    </row>
    <row r="41" spans="2:10" x14ac:dyDescent="0.3">
      <c r="G41" s="118"/>
      <c r="H41" s="61"/>
    </row>
    <row r="42" spans="2:10" x14ac:dyDescent="0.3">
      <c r="G42" s="117"/>
      <c r="H42" s="85"/>
    </row>
    <row r="43" spans="2:10" x14ac:dyDescent="0.3">
      <c r="G43" s="117"/>
      <c r="H43" s="85"/>
    </row>
    <row r="44" spans="2:10" x14ac:dyDescent="0.3">
      <c r="G44" s="120"/>
      <c r="H44" s="85"/>
    </row>
    <row r="45" spans="2:10" x14ac:dyDescent="0.3">
      <c r="G45" s="120"/>
      <c r="H45" s="61"/>
    </row>
    <row r="47" spans="2:10" x14ac:dyDescent="0.3">
      <c r="B47" s="112"/>
    </row>
  </sheetData>
  <mergeCells count="3">
    <mergeCell ref="G4:G5"/>
    <mergeCell ref="B4:E4"/>
    <mergeCell ref="B6:B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01.09.2025-30.09.2025(расход)</vt:lpstr>
      <vt:lpstr>01.09.2025-30.09.2025 (приход)</vt:lpstr>
      <vt:lpstr>01.09.2025-30.09.2025(смета)</vt:lpstr>
      <vt:lpstr>Касса</vt:lpstr>
      <vt:lpstr>'01.09.2025-30.09.2025(смета)'!Область_печати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Kamalov Durbek</dc:creator>
  <cp:lastModifiedBy>Kamalov Durbek</cp:lastModifiedBy>
  <dcterms:created xsi:type="dcterms:W3CDTF">2022-03-02T16:44:37Z</dcterms:created>
  <dcterms:modified xsi:type="dcterms:W3CDTF">2025-10-01T12:27:08Z</dcterms:modified>
</cp:coreProperties>
</file>